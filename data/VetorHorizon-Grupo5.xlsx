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karol\Downloads\"/>
    </mc:Choice>
  </mc:AlternateContent>
  <xr:revisionPtr revIDLastSave="433" documentId="8_{AC0AC35C-D9D4-4015-881F-69A8008CC29F}" xr6:coauthVersionLast="47" xr6:coauthVersionMax="47" xr10:uidLastSave="{9E29B6F9-6164-47F0-8BFA-A7760B24BF4D}"/>
  <bookViews>
    <workbookView xWindow="-20520" yWindow="-120" windowWidth="20640" windowHeight="11160" xr2:uid="{00000000-000D-0000-FFFF-FFFF00000000}"/>
  </bookViews>
  <sheets>
    <sheet name="Riscos" sheetId="1" r:id="rId1"/>
    <sheet name="Tabelas Impactos e Probabiidade" sheetId="2" r:id="rId2"/>
    <sheet name="Exemplos com base em Normas ISO" sheetId="3" r:id="rId3"/>
    <sheet name="listas" sheetId="4" r:id="rId4"/>
  </sheets>
  <definedNames>
    <definedName name="_xlnm._FilterDatabase" localSheetId="0" hidden="1">Riscos!$A$3:$Z$3</definedName>
    <definedName name="inerente">Riscos!$J$5</definedName>
    <definedName name="residual">Riscos!$X$5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wFvFcl+ntg9g7nqYrMCKeH8MYG9IUaRfKqprFqTMH+Y="/>
    </ext>
  </extLst>
</workbook>
</file>

<file path=xl/calcChain.xml><?xml version="1.0" encoding="utf-8"?>
<calcChain xmlns="http://schemas.openxmlformats.org/spreadsheetml/2006/main">
  <c r="Y19" i="1" l="1"/>
  <c r="O19" i="1"/>
  <c r="Y24" i="1"/>
  <c r="O23" i="1"/>
  <c r="O24" i="1"/>
  <c r="O25" i="1"/>
  <c r="O26" i="1"/>
  <c r="O27" i="1"/>
  <c r="J27" i="1"/>
  <c r="Y27" i="1" s="1"/>
  <c r="J26" i="1"/>
  <c r="J25" i="1"/>
  <c r="Y25" i="1" s="1"/>
  <c r="J23" i="1"/>
  <c r="Y23" i="1" s="1"/>
  <c r="O22" i="1"/>
  <c r="J22" i="1"/>
  <c r="Y22" i="1" s="1"/>
  <c r="O21" i="1"/>
  <c r="J21" i="1"/>
  <c r="Y21" i="1" s="1"/>
  <c r="O20" i="1"/>
  <c r="J20" i="1"/>
  <c r="Y20" i="1" s="1"/>
  <c r="O18" i="1"/>
  <c r="J18" i="1"/>
  <c r="Y18" i="1" s="1"/>
  <c r="O17" i="1"/>
  <c r="J17" i="1"/>
  <c r="Y17" i="1" s="1"/>
  <c r="O16" i="1"/>
  <c r="J16" i="1"/>
  <c r="O15" i="1"/>
  <c r="J15" i="1"/>
  <c r="Y15" i="1" s="1"/>
  <c r="O14" i="1"/>
  <c r="J14" i="1"/>
  <c r="Y14" i="1" s="1"/>
  <c r="O13" i="1"/>
  <c r="J13" i="1"/>
  <c r="Y13" i="1" s="1"/>
  <c r="O12" i="1"/>
  <c r="J12" i="1"/>
  <c r="Y12" i="1" s="1"/>
  <c r="O11" i="1"/>
  <c r="J11" i="1"/>
  <c r="O10" i="1"/>
  <c r="J10" i="1"/>
  <c r="Y10" i="1" s="1"/>
  <c r="O9" i="1"/>
  <c r="J9" i="1"/>
  <c r="Y9" i="1" s="1"/>
  <c r="O8" i="1"/>
  <c r="J8" i="1"/>
  <c r="Y8" i="1" s="1"/>
  <c r="O7" i="1"/>
  <c r="J7" i="1"/>
  <c r="Y7" i="1" s="1"/>
  <c r="O6" i="1"/>
  <c r="J6" i="1"/>
  <c r="O5" i="1"/>
  <c r="J5" i="1"/>
  <c r="Y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Karolina Negrizolo</author>
  </authors>
  <commentList>
    <comment ref="E3" authorId="0" shapeId="0" xr:uid="{00000000-0006-0000-0000-000017000000}">
      <text>
        <r>
          <rPr>
            <sz val="10"/>
            <color rgb="FF000000"/>
            <rFont val="Helvetica Neue"/>
            <scheme val="minor"/>
          </rPr>
          <t>======
ID#AAAB1R-yTEA
tc={EA579914-74F2-7347-88AE-35B437A43B2F}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 1 = Fonte de risco e/ou ameaça + parte do negócio afetada (locais, processos, linhas de produtos) + impactos e suas consequências.
Forma 2 = Fonte de risco e/ou ameaça + vulnerabilidade + impactos. 
Forma 3 = Ameaça + Impacto (Causa e efeito).</t>
        </r>
      </text>
    </comment>
    <comment ref="K3" authorId="0" shapeId="0" xr:uid="{00000000-0006-0000-0000-000018000000}">
      <text>
        <r>
          <rPr>
            <sz val="10"/>
            <color rgb="FF000000"/>
            <rFont val="Helvetica Neue"/>
            <scheme val="minor"/>
          </rPr>
          <t>======
ID#AAAB1R-yTD8
tc={8A4D7E3D-6308-6842-8E87-55AB1B0870DE}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pelo analista ou equipe de riscos</t>
        </r>
      </text>
    </comment>
    <comment ref="T3" authorId="0" shapeId="0" xr:uid="{00000000-0006-0000-0000-00001B000000}">
      <text>
        <r>
          <rPr>
            <sz val="10"/>
            <color rgb="FF000000"/>
            <rFont val="Helvetica Neue"/>
            <scheme val="minor"/>
          </rPr>
          <t>======
ID#AAAB1R-yTDs
tc={382F14D4-58DE-2740-9874-D5820355D835}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Um KRI (Key Risk Indicator) é um indicador-chave de risco usado para monitorar e avaliar o nível de risco em uma organização ou de um determinado risco. Ele serve como uma métrica que alerta antecipadamente sobre o aumento ou a mudança em um risco específico, permitindo que a organização tome ações preventivas antes que o risco se materialize e cause os impactos já mapeados.</t>
        </r>
      </text>
    </comment>
    <comment ref="B4" authorId="0" shapeId="0" xr:uid="{00000000-0006-0000-0000-00001A000000}">
      <text>
        <r>
          <rPr>
            <sz val="10"/>
            <color rgb="FF000000"/>
            <rFont val="Helvetica Neue"/>
            <scheme val="minor"/>
          </rPr>
          <t>======
ID#AAAB1R-yTDw
tc={A26C5258-AD6A-2343-AFB2-A7BF17905275}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Primeiro identifique as FE - Fontes Externas e depois as FI - Fontes Internas</t>
        </r>
      </text>
    </comment>
    <comment ref="Q4" authorId="0" shapeId="0" xr:uid="{00000000-0006-0000-0000-000019000000}">
      <text>
        <r>
          <rPr>
            <sz val="10"/>
            <color rgb="FF000000"/>
            <rFont val="Helvetica Neue"/>
            <scheme val="minor"/>
          </rPr>
          <t>======
ID#AAAB1R-yTD0
tc={14EAE391-0E8B-214F-AD96-73545099D013}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Controles Preventivos, Detectivos, Corretivos, compensatórios, de Recuperação e Directivos ou Gerenciais</t>
        </r>
      </text>
    </comment>
    <comment ref="R4" authorId="0" shapeId="0" xr:uid="{00000000-0006-0000-0000-000016000000}">
      <text>
        <r>
          <rPr>
            <sz val="10"/>
            <color rgb="FF000000"/>
            <rFont val="Helvetica Neue"/>
            <scheme val="minor"/>
          </rPr>
          <t>======
ID#AAAB1R-yTEE
tc={E782A8AA-0A94-8345-8BE6-F5E526E7ED66}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Riscos Estratégicos o ideal é nomear um Executivo</t>
        </r>
      </text>
    </comment>
    <comment ref="C7" authorId="0" shapeId="0" xr:uid="{00000000-0006-0000-0000-000010000000}">
      <text>
        <r>
          <rPr>
            <sz val="10"/>
            <color rgb="FF000000"/>
            <rFont val="Helvetica Neue"/>
            <scheme val="minor"/>
          </rPr>
          <t>======
ID#AAAB1R-yTKo
Karolina Negrizolo    (2026-03-02 23:59:23)
Pagina 05 - 2 paragrafo</t>
        </r>
      </text>
    </comment>
    <comment ref="A8" authorId="0" shapeId="0" xr:uid="{00000000-0006-0000-0000-00000E000000}">
      <text>
        <r>
          <rPr>
            <sz val="10"/>
            <color rgb="FF000000"/>
            <rFont val="Helvetica Neue"/>
            <scheme val="minor"/>
          </rPr>
          <t>======
ID#AAAB1R-yTK0
Matheus Arduini    (2026-03-03 00:20:55)
Matheus Arduini</t>
        </r>
      </text>
    </comment>
    <comment ref="C8" authorId="0" shapeId="0" xr:uid="{00000000-0006-0000-0000-00000D000000}">
      <text>
        <r>
          <rPr>
            <sz val="10"/>
            <color rgb="FF000000"/>
            <rFont val="Helvetica Neue"/>
            <scheme val="minor"/>
          </rPr>
          <t>======
ID#AAAB1R-yTK4
Matheus Arduini    (2026-03-03 00:21:59)
Durante a noite, por custos, a empresa reduziu o
quadro e adota câmeras falsas e bonecos em alguns locais de vigilância</t>
        </r>
      </text>
    </comment>
    <comment ref="L8" authorId="0" shapeId="0" xr:uid="{00000000-0006-0000-0000-00000A000000}">
      <text>
        <r>
          <rPr>
            <sz val="10"/>
            <color rgb="FF000000"/>
            <rFont val="Helvetica Neue"/>
            <scheme val="minor"/>
          </rPr>
          <t>======
ID#AAAB1R-yTLE
Matheus Arduini    (2026-03-03 00:29:06)
4</t>
        </r>
      </text>
    </comment>
    <comment ref="M8" authorId="0" shapeId="0" xr:uid="{00000000-0006-0000-0000-000009000000}">
      <text>
        <r>
          <rPr>
            <sz val="10"/>
            <color rgb="FF000000"/>
            <rFont val="Helvetica Neue"/>
            <scheme val="minor"/>
          </rPr>
          <t>======
ID#AAAB1R-yTLI
Matheus Arduini    (2026-03-03 00:29:21)
3</t>
        </r>
      </text>
    </comment>
    <comment ref="N8" authorId="0" shapeId="0" xr:uid="{00000000-0006-0000-0000-000008000000}">
      <text>
        <r>
          <rPr>
            <sz val="10"/>
            <color rgb="FF000000"/>
            <rFont val="Helvetica Neue"/>
            <scheme val="minor"/>
          </rPr>
          <t>======
ID#AAAB1R-yTLM
Matheus Arduini    (2026-03-03 00:29:49)
3</t>
        </r>
      </text>
    </comment>
    <comment ref="A9" authorId="0" shapeId="0" xr:uid="{00000000-0006-0000-0000-000015000000}">
      <text>
        <r>
          <rPr>
            <sz val="10"/>
            <color rgb="FF000000"/>
            <rFont val="Helvetica Neue"/>
            <scheme val="minor"/>
          </rPr>
          <t>======
ID#AAAB1R-yTEQ
Cristiano Israel    (2026-03-02 23:30:54)
Cristiano Israel</t>
        </r>
      </text>
    </comment>
    <comment ref="C9" authorId="0" shapeId="0" xr:uid="{00000000-0006-0000-0000-000012000000}">
      <text>
        <r>
          <rPr>
            <sz val="10"/>
            <color rgb="FF000000"/>
            <rFont val="Helvetica Neue"/>
            <scheme val="minor"/>
          </rPr>
          <t>======
ID#AAAB1R-yTKg
Cristiano Israel    (2026-03-02 23:58:14)
Um ponto de atenção significativo na DAMACORP é a ausência de um profissional
dedicado à segurança da informaçã</t>
        </r>
      </text>
    </comment>
    <comment ref="C11" authorId="0" shapeId="0" xr:uid="{00000000-0006-0000-0000-000011000000}">
      <text>
        <r>
          <rPr>
            <sz val="10"/>
            <color rgb="FF000000"/>
            <rFont val="Helvetica Neue"/>
            <scheme val="minor"/>
          </rPr>
          <t>======
ID#AAAB1R-yTKk
Pedro Ricci    (2026-03-02 23:58:28)
A área de Tecnologia da Informação (TI) da DAMACORP abrange várias funções 
críticas, incluindo desenvolvimento, infraestrutura, gestão de contratos, suporte ao e- 
commerce e suporte corporativo. Para a hospedagem de seu Data Center, a empresa 
opta por uma solução terceirizada com a XYZ Cloud, exigindo uma disponibilidade de 
serviço de 100% para atender às necessidades críticas do negócio. Apesar dos 
requisitos agressivos, a DAMACORP não tem um Plano de Continuidade de Negócios 
(PCN) formalizado onde jamais fizeram testes e/ou exercícios. Alguns dos sócios 
4 
©Copyright IDESP - 2005-2024 – www.daryus.com.br - https://idesp.com.br/ 
ESTUDO DE CASO DAMACORP 
Áreas de Conhecimento: Gestão Empresarial e Gestão de Riscos e Conformidade 
Tema principal: Riscos, Continuidade de Negócios e Resiliência Empresarial Por: 
Prof. Jeferson D’Addario – IDESP – SP 
fundadores mencionam isso como um ponto positivo, pois, segundo eles a infraestrutura 
É tão boa que nunca tiveram uma interrupção maior de 12 horas e crises prolongadas. 
Porém, nunca mediram efetivamente os impactos e reflexos indiretos destas 
interrupções</t>
        </r>
      </text>
    </comment>
    <comment ref="A13" authorId="0" shapeId="0" xr:uid="{00000000-0006-0000-0000-000014000000}">
      <text>
        <r>
          <rPr>
            <sz val="10"/>
            <color rgb="FF000000"/>
            <rFont val="Helvetica Neue"/>
            <scheme val="minor"/>
          </rPr>
          <t>======
ID#AAAB1R-yTKY
Cristiano Israel    (2026-03-02 23:55:43)
Cristiano Israel</t>
        </r>
      </text>
    </comment>
    <comment ref="C13" authorId="0" shapeId="0" xr:uid="{00000000-0006-0000-0000-000013000000}">
      <text>
        <r>
          <rPr>
            <sz val="10"/>
            <color rgb="FF000000"/>
            <rFont val="Helvetica Neue"/>
            <scheme val="minor"/>
          </rPr>
          <t>======
ID#AAAB1R-yTKc
Cristiano Israel    (2026-03-02 23:57:37)
Um dos sócios da empresa é da família de uma grande construtora envolvida com
escândalos de corrupção, e os outros sócios tem medo da empresa ser atacada ou alvo
da Polícia Federal no futuro</t>
        </r>
      </text>
    </comment>
    <comment ref="C14" authorId="0" shapeId="0" xr:uid="{00000000-0006-0000-0000-00000C000000}">
      <text>
        <r>
          <rPr>
            <sz val="10"/>
            <color rgb="FF000000"/>
            <rFont val="Helvetica Neue"/>
            <scheme val="minor"/>
          </rPr>
          <t>======
ID#AAAB1R-yTK8
Karolina Negrizolo    (2026-03-03 00:28:15)
Pagina 07, 3 paragrafo</t>
        </r>
      </text>
    </comment>
    <comment ref="D14" authorId="0" shapeId="0" xr:uid="{EB5B77B4-E26B-4EF1-A439-6F88E4A3202A}">
      <text>
        <r>
          <rPr>
            <sz val="10"/>
            <color rgb="FF000000"/>
            <rFont val="Helvetica Neue"/>
            <scheme val="minor"/>
          </rPr>
          <t>======
ID#AAAB1R-yTK8
Karolina Negrizolo    (2026-03-03 00:28:15)
Pagina 07, 3 paragrafo</t>
        </r>
      </text>
    </comment>
    <comment ref="C15" authorId="0" shapeId="0" xr:uid="{00000000-0006-0000-0000-00000F000000}">
      <text>
        <r>
          <rPr>
            <sz val="10"/>
            <color rgb="FF000000"/>
            <rFont val="Helvetica Neue"/>
            <scheme val="minor"/>
          </rPr>
          <t>======
ID#AAAB1R-yTKw
Pedro Ricci    (2026-03-03 00:20:12)
Questões relativas à integridade nas compras de produtos também têm sido fonte de 
críticas, com registros de desvios em anos anteriores que não resultaram em punições 
adequadas.</t>
        </r>
      </text>
    </comment>
    <comment ref="C16" authorId="0" shapeId="0" xr:uid="{00000000-0006-0000-0000-000003000000}">
      <text>
        <r>
          <rPr>
            <sz val="10"/>
            <color rgb="FF000000"/>
            <rFont val="Helvetica Neue"/>
            <scheme val="minor"/>
          </rPr>
          <t>======
ID#AAAB1R-yTLg
Matheus Arduini    (2026-03-03 00:49:04)
DAMACORP está agora diversificando com
competência e estratégia em novos domínios, incluindo vestuário/moda, itens para casa
e produtos para animais domésticos.</t>
        </r>
      </text>
    </comment>
    <comment ref="L16" authorId="0" shapeId="0" xr:uid="{00000000-0006-0000-0000-000007000000}">
      <text>
        <r>
          <rPr>
            <sz val="10"/>
            <color rgb="FF000000"/>
            <rFont val="Helvetica Neue"/>
            <scheme val="minor"/>
          </rPr>
          <t>======
ID#AAAB1R-yTLQ
Matheus Arduini    (2026-03-03 00:32:47)
3</t>
        </r>
      </text>
    </comment>
    <comment ref="M16" authorId="0" shapeId="0" xr:uid="{00000000-0006-0000-0000-000005000000}">
      <text>
        <r>
          <rPr>
            <sz val="10"/>
            <color rgb="FF000000"/>
            <rFont val="Helvetica Neue"/>
            <scheme val="minor"/>
          </rPr>
          <t>======
ID#AAAB1R-yTLY
Matheus Arduini    (2026-03-03 00:33:02)
3</t>
        </r>
      </text>
    </comment>
    <comment ref="C17" authorId="0" shapeId="0" xr:uid="{00000000-0006-0000-0000-00000B000000}">
      <text>
        <r>
          <rPr>
            <sz val="10"/>
            <color rgb="FF000000"/>
            <rFont val="Helvetica Neue"/>
            <scheme val="minor"/>
          </rPr>
          <t>======
ID#AAAB1R-yTLA
Cristiano Israel    (2026-03-03 00:29:03)
A DAMACORP trabalha com conceito de estoque zero, apesar de ter os CDs que
funcionam como estoque, e muitos produtos são vendidos e entregues diretamente pelos
fabricantes ou empresas de logísticas contratadas pelos fabricantes</t>
        </r>
      </text>
    </comment>
    <comment ref="C18" authorId="0" shapeId="0" xr:uid="{00000000-0006-0000-0000-000006000000}">
      <text>
        <r>
          <rPr>
            <sz val="10"/>
            <color rgb="FF000000"/>
            <rFont val="Helvetica Neue"/>
            <scheme val="minor"/>
          </rPr>
          <t>======
ID#AAAB1R-yTLU
Karolina Negrizolo    (2026-03-03 00:32:52)
Pagina 6, 6 paragrafo</t>
        </r>
      </text>
    </comment>
    <comment ref="C20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======
ID#AAAB1R-yTLw
Cristiano Israel    (2026-03-03 01:15:04)
programação, dados e informações sensíveis, expondo a empresa a riscos significativos
de segurança da informação</t>
        </r>
      </text>
    </comment>
    <comment ref="C21" authorId="0" shapeId="0" xr:uid="{00000000-0006-0000-0000-000004000000}">
      <text>
        <r>
          <rPr>
            <sz val="10"/>
            <color rgb="FF000000"/>
            <rFont val="Helvetica Neue"/>
            <scheme val="minor"/>
          </rPr>
          <t>======
ID#AAAB1R-yTLc
Cristiano Israel    (2026-03-03 00:38:14)
A DAMACORP vem perdendo vendas e suas
campanhas promocionais são constantemente copiadas e antecipadas pelos
concorrentes</t>
        </r>
      </text>
    </comment>
    <comment ref="C23" authorId="0" shapeId="0" xr:uid="{00000000-0006-0000-0000-000002000000}">
      <text>
        <r>
          <rPr>
            <sz val="10"/>
            <color rgb="FF000000"/>
            <rFont val="Helvetica Neue"/>
            <scheme val="minor"/>
          </rPr>
          <t>======
ID#AAAB1R-yTLo
Cristiano Israel    (2026-03-03 01:01:08)
gestão da Tecnologia da Informação (TI) na DAMACORP é liderada por um executivo
com vasta experiência no setor de varejo, porém com limitada vivência em e-commerce</t>
        </r>
      </text>
    </comment>
    <comment ref="E26" authorId="1" shapeId="0" xr:uid="{50BD4F37-2BF1-47D0-B504-CF1F489BBAC9}">
      <text>
        <r>
          <rPr>
            <b/>
            <sz val="9"/>
            <color indexed="81"/>
            <rFont val="Segoe UI"/>
            <family val="2"/>
          </rPr>
          <t>Karolina Negrizolo:</t>
        </r>
        <r>
          <rPr>
            <sz val="9"/>
            <color indexed="81"/>
            <rFont val="Segoe UI"/>
            <family val="2"/>
          </rPr>
          <t xml:space="preserve">
Pagina 09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Oi6aO9Z3psBARwKzMvE/piCJed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00000000-0006-0000-0100-000002000000}">
      <text>
        <r>
          <rPr>
            <sz val="10"/>
            <color rgb="FF000000"/>
            <rFont val="Helvetica Neue"/>
            <scheme val="minor"/>
          </rPr>
          <t>======
ID#AAAB1R-yTDo
tc={30DB18A9-EBD6-F94D-A6A5-28E01D466D11}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Recomenda-se se basear em estatisticas e Fontes confiaveis. Historico</t>
        </r>
      </text>
    </comment>
    <comment ref="M2" authorId="0" shapeId="0" xr:uid="{00000000-0006-0000-0100-000001000000}">
      <text>
        <r>
          <rPr>
            <sz val="10"/>
            <color rgb="FF000000"/>
            <rFont val="Helvetica Neue"/>
            <scheme val="minor"/>
          </rPr>
          <t>======
ID#AAAB1R-yTD4
tc={D6E47D78-CE3A-3542-9C0D-92B27C7F25FD}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ou falha de controles existentes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6o7Be/A+PnmzjYrROlZpz3Cpk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0"/>
            <color rgb="FF000000"/>
            <rFont val="Helvetica Neue"/>
            <scheme val="minor"/>
          </rPr>
          <t>======
ID#AAAB1R-yTEI
tc={458CA818-F622-594B-845F-454FD78F4266}    (2026-03-02 22:51:54)
[Comentário encadeado]
Sua versão do Excel permite que você leia este comentário encadeado, no entanto, as edições serão removidas se o arquivo for aberto em uma versão mais recente do Excel. Saiba mais: https://go.microsoft.com/fwlink/?linkid=870924
Comentário:
    Exemplos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mant6PUvsFT8m6ChE8TSzZIl1g=="/>
    </ext>
  </extLst>
</comments>
</file>

<file path=xl/sharedStrings.xml><?xml version="1.0" encoding="utf-8"?>
<sst xmlns="http://schemas.openxmlformats.org/spreadsheetml/2006/main" count="778" uniqueCount="594">
  <si>
    <t>Versão 4 - ERM - Enterprise Risk Management.   ICAPT® (Identificação, classificação, avaliação, priorização e tratamento de riscos).</t>
  </si>
  <si>
    <t xml:space="preserve">RISCOS </t>
  </si>
  <si>
    <t>DAMACORP</t>
  </si>
  <si>
    <t>1. Identificação do Risco</t>
  </si>
  <si>
    <t>2. Identificacao da Fonte de Risco</t>
  </si>
  <si>
    <t>2.1. Descrição da Fonte de Risco</t>
  </si>
  <si>
    <t>3. Identificação da Ameaça</t>
  </si>
  <si>
    <t>4. Descrição do Risco</t>
  </si>
  <si>
    <t>5. Classificação do Risco</t>
  </si>
  <si>
    <t>5.1. Outro tipo de risco associado</t>
  </si>
  <si>
    <t>6. Avaliação do Risco</t>
  </si>
  <si>
    <t xml:space="preserve">7. Consequência direta ou estimada </t>
  </si>
  <si>
    <t>8. Priorizacao</t>
  </si>
  <si>
    <t xml:space="preserve">9. Tratamento (Estratégia de tratamento, Plano de Tratamento de Risco) </t>
  </si>
  <si>
    <t xml:space="preserve">9.1 </t>
  </si>
  <si>
    <t>10. Responsável pelo Risco</t>
  </si>
  <si>
    <t>10.1. Key Risk Indicator (KRI)</t>
  </si>
  <si>
    <t>11. Risco Residual</t>
  </si>
  <si>
    <t>ID</t>
  </si>
  <si>
    <t>O que pode originar riscos?</t>
  </si>
  <si>
    <t>Descrição</t>
  </si>
  <si>
    <t>O que pode explorar essas vulnerabilidades e causar um incidente?</t>
  </si>
  <si>
    <t>Qual a incerteza nos objetivos da empresa?</t>
  </si>
  <si>
    <t>ESTRATÉGICO (Sim ou Não)</t>
  </si>
  <si>
    <t xml:space="preserve">Probabilidade </t>
  </si>
  <si>
    <t>Impacto</t>
  </si>
  <si>
    <t>Risco Inerente</t>
  </si>
  <si>
    <t>Consequencia</t>
  </si>
  <si>
    <t>(G) Gravidade</t>
  </si>
  <si>
    <t xml:space="preserve">(U) Urgência </t>
  </si>
  <si>
    <t>(T) Tendência</t>
  </si>
  <si>
    <t>GUT Score</t>
  </si>
  <si>
    <t>Mitigar e/ou Aceitar e/ou Transferir e/ou Evitar (MATE)</t>
  </si>
  <si>
    <t>Controles Gerais do Tratamento</t>
  </si>
  <si>
    <t>Quem será cobrado pelo Tratamento e Monitoramento?</t>
  </si>
  <si>
    <t>Prazos para tratamento</t>
  </si>
  <si>
    <t>Qual o nível de alerta?</t>
  </si>
  <si>
    <t>Se atingido o KRI, o que será feito?</t>
  </si>
  <si>
    <t>Quem mede?</t>
  </si>
  <si>
    <t>Quando mede?</t>
  </si>
  <si>
    <t>Redução de Risco pretendido?</t>
  </si>
  <si>
    <t>Risco Residual</t>
  </si>
  <si>
    <t>Como será medida a eficácia do tratamento do risco?</t>
  </si>
  <si>
    <t>Ex. R001</t>
  </si>
  <si>
    <t>FE - Cibersegurança ou Tecnologicas externas</t>
  </si>
  <si>
    <t>Exemplo: Uso de tecnologia desatualizada, fornecedor instável, políticas internas falhas.</t>
  </si>
  <si>
    <t>Exemplo: Um hacker (ameaça) pode explorar uma vulnerabilidade causada por software desatualizado (fonte de risco).</t>
  </si>
  <si>
    <r>
      <rPr>
        <sz val="10"/>
        <color rgb="FFFF0000"/>
        <rFont val="Arial"/>
        <family val="2"/>
      </rPr>
      <t xml:space="preserve">✅ </t>
    </r>
    <r>
      <rPr>
        <sz val="10"/>
        <color rgb="FFFF0000"/>
        <rFont val="Arial"/>
        <family val="2"/>
      </rPr>
      <t>Forma 1: Um ataque ransomware contra servidores corporativos pode comprometer dados críticos da empresa, resultando em perda de informações essenciais, paralisação de operações e possíveis impactos financeiros e reputacionais. ✅ Forma 2: Um ataque ransomware explorando a vulnerabilidade de um software desatualizado pode criptografar dados corporativos, levando à indisponibilidade das informações e potenciais prejuízos financeiros e operacionais. ✅ Forma 3: Um ataque ransomware pode causar a perda de dados críticos, impactando a continuidade dos negócios e gerando prejuízos financeiros e operacionais.</t>
    </r>
  </si>
  <si>
    <t>SIM</t>
  </si>
  <si>
    <t>Risco de Segurança da Informação (Cibernético)</t>
  </si>
  <si>
    <t>Comprometer dados críticos da empresa, resultando em perda de informações essenciais, paralisação de operações e possíveis impactos financeiros e reputacionais.</t>
  </si>
  <si>
    <t xml:space="preserve">Transferir (Possível, mas não suficiente isoladamente)
* Transferência parcial pode ser feita com seguros cibernéticos, reduzindo impactos financeiros de multas e recuperação de dados.
Mitigar? (Mais recomendado!)
* A melhor abordagem é mitigar esse risco com controles técnicos, operacionais e estratégicos.
</t>
  </si>
  <si>
    <t>- Seguros cibernéticos
- Backups seguros e criptografados (offline e na nuvem).
- Monitoramento contínuo de segurança (SIEM, SOC, IDS/IPS).
- Autenticação multifator (MFA) e controles de acesso rigorosos.
- Treinamento de colaboradores para evitar ataques de engenharia social.
- Planos de resposta a incidentes e continuidade de negócios (ISO 22301).</t>
  </si>
  <si>
    <t>CIO</t>
  </si>
  <si>
    <t>12 meses</t>
  </si>
  <si>
    <t>KRI 1 - Número de tentativas de ataque bem-sucedidas (exemplo: acessos não autorizados, malware detectado) = 2
KRI 2 - Quantidade de credenciais comprometidas (monitoramento em dark web) = 2
KRI 3 - Número de falhas em testes de penetração = 2</t>
  </si>
  <si>
    <t>?</t>
  </si>
  <si>
    <t>Mensalmente</t>
  </si>
  <si>
    <t>3</t>
  </si>
  <si>
    <t xml:space="preserve">✅ Seguro Cibernetico: Cobertura e tempo de resposta financeira após incidentes.
- Indicadores de eficácia: Percentual do custo de um incidente coberto pelo seguro, e Tempo médio de reembolso após um sinistro ou Número de cláusulas acionáveis (quanto do seguro realmente protege).
Comparação entre perdas financeiras projetadas vs. perdas cobertas pelo seguro.
💡 Teste recomendado: Simular um incidente e avaliar tempo de resposta e cobertura do seguro. ✅ Backups Seguros e Criptografados (Offline e na Nuvem) - Métrica: Tempo de recuperação e integridade dos backups.
- Indicadores de eficácia: RTO (Recovery Time Objective): Tempo necessário para restaurar dados após incidente, RPO (Recovery Point Objective): Tempo máximo aceitável de perda de dados, Taxa de sucesso de restauração de backups (quantidade de testes de recuperação bem-sucedidos), Porcentagem de backups armazenados offline e criptografados.
💡 Teste recomendado: Executar testes periódicos de restauração para garantir que os backups são funcionais. ✅ Monitoramento Contínuo de Segurança (SIEM, SOC, IDS/IPS) - Métrica: Tempo de detecção e resposta a ameaças.
- Indicadores de eficácia: MTTD (Mean Time to Detect): Tempo médio para detectar um incidente. MTTR (Mean Time to Respond): Tempo médio para responder a uma ameaça. Taxa de alertas falsos positivos e negativos. Porcentagem de incidentes detectados antes da exploração completa.
💡 Teste recomendado: Simular ataques controlados para avaliar tempo de resposta e efetividade da detecção. ✅ Autenticação Multifator (MFA) e Controles de Acesso Rigorosos - Métrica: Tentativas de acesso não autorizado bloqueadas.
- Indicadores de eficácia: Número de tentativas de login bloqueadas por MFA. Taxa de adoção do MFA por usuários críticos. Número de acessos não autorizados antes e depois da implementação do controle. Quantidade de credenciais vazadas que não resultaram em acessos bem-sucedidos.
💡 Teste recomendado: Simular tentativas de login sem MFA e analisar bloqueios. ✅Treinamento de Colaboradores para Engenharia Social - -Métrica: Redução de erros humanos em ataques simulados.
-Indicadores de eficácia: Taxa de sucesso em simulações de phishing (quantos colaboradores caíram no golpe antes e depois do treinamento). Nível de retenção do treinamento em testes pós-evento. Número de incidentes de engenharia social reportados internamente. Tempo médio de resposta de funcionários a um ataque suspeito.
💡 Teste recomendado: Enviar e-mails de phishing simulados e medir a taxa de cliques e denúncias. ✅ Planos de  Continuidade de Negócios (ISO 22301) - Métrica: Tempo de recuperação das operações após um incidente.
-  Indicadores de eficácia: Tempo necessário para ativar o plano após um incidente (TTA - Time to Activate). Taxa de conformidade com os tempos definidos em RTO/RPO. Número de falhas ou lacunas identificadas em testes de continuidade. Engajamento e preparação dos times em testes de resposta a incidentes.
💡 Teste recomendado: Simular um incidente realista e medir tempo de resposta e eficiência das equipes.
</t>
  </si>
  <si>
    <t>EX.: R 002</t>
  </si>
  <si>
    <t>FE - Mercado</t>
  </si>
  <si>
    <r>
      <rPr>
        <b/>
        <sz val="10"/>
        <color rgb="FFFF0000"/>
        <rFont val="Arial"/>
        <family val="2"/>
      </rPr>
      <t>Exemplo: Flutuação cambial abrupta</t>
    </r>
    <r>
      <rPr>
        <sz val="10"/>
        <color rgb="FFFF0000"/>
        <rFont val="Arial"/>
        <family val="2"/>
      </rPr>
      <t xml:space="preserve"> causada por fatores macroeconômicos, crises políticas ou instabilidade global. Exemplo: Uma crise econômica global ou instabilidade política interna faz com que o dólar aumente 15% em uma semana.</t>
    </r>
  </si>
  <si>
    <t>Exemplo: Aumento inesperado no custo de importação</t>
  </si>
  <si>
    <r>
      <rPr>
        <sz val="10"/>
        <color rgb="FFFF0000"/>
        <rFont val="Arial"/>
        <family val="2"/>
      </rPr>
      <t xml:space="preserve">✅ </t>
    </r>
    <r>
      <rPr>
        <sz val="10"/>
        <color rgb="FFFF0000"/>
        <rFont val="Arial"/>
        <family val="2"/>
      </rPr>
      <t>Forma 1: Uma flutuação abrupta no câmbio, com valorização excessiva da moeda estrangeira (dólar), pode aumentar os custos de importação da empresa, impactando a margem de lucro e reduzindo a competitividade dos produtos no mercado, podendo levar a perdas financeiras e queda nas vendas.
 ✅ Forma 2: A alta volatilidade do câmbio, aliada à ausência de hedge cambial e estratégias de proteção financeira, pode resultar em um aumento significativo nos custos de importação, comprometendo a viabilidade dos negócios, afetando preços e causando prejuízos operacionais.
✅ Forma 3: Uma valorização abrupta da moeda estrangeira pode resultar no aumento dos custos de importação, impactando negativamente a margem de lucro da empresa e reduzindo sua competitividade no mercado.</t>
    </r>
  </si>
  <si>
    <t>Risco Estratégico</t>
  </si>
  <si>
    <t>✅ Aumento do custo de produtos importados, reduzindo margens de lucro.
✅ Dificuldade em repassar os custos ao consumidor, podendo reduzir vendas.
✅ Impacto no fluxo de caixa, pois as despesas em moeda estrangeira aumentam sem tempo de ajuste.
✅ Possível endividamento, caso a empresa tenha financiamentos em moeda estrangeira.</t>
  </si>
  <si>
    <t>Mitigar? (Mais recomendado!) ✅ Hedge cambial.
✅ Diversificação de fornecedores – Buscar alternativas em outras moedas ou negociar contratos em moeda local.
✅ Precificação dinâmica – Estratégia de reajuste de preços conforme flutuações cambiais.
✅ Planejamento financeiro – Criar reservas para cobrir variações inesperadas.
Transferência (Redução do Impacto Financeiro):
✅ Contratar seguros cambiais para limitar as perdas.
✅ Negociar com fornecedores para pagamentos parcelados ou travamento de taxas.</t>
  </si>
  <si>
    <t>- Mitigar? (Mais recomendado!) ✅ Hedge cambial – Contratos futuros ou swaps para fixar a cotação de compra.
✅ Diversificação de fornecedores – Buscar alternativas em outras moedas ou negociar contratos em moeda local.
✅ Precificação dinâmica – Estratégia de reajuste de preços conforme flutuações cambiais.
✅ Planejamento financeiro – Criar reservas para cobrir variações inesperadas.
Transferência (Redução do Impacto Financeiro):
✅ Contratar seguros cambiais para limitar as perdas.
✅ Negociar com fornecedores para pagamentos parcelados ou travamento de taxas.</t>
  </si>
  <si>
    <t>CFO</t>
  </si>
  <si>
    <t>InIndicadores para monitoramento da variação cambial:
✅ Variação percentual do câmbio em relação ao planejamento (exemplo: dólar acima de 10% da projeção).
✅ Tempo médio de impacto do câmbio no custo de importação (exemplo: quanto tempo leva para o aumento da moeda impactar preços finais).
✅ Exposição cambial da empresa (% dos custos atrelados a moedas estrangeiras).
✅ Percentual de hedge contratado sobre importações (quanto da operação está protegida contra flutuações).</t>
  </si>
  <si>
    <t>R 003</t>
  </si>
  <si>
    <t>FE - Fornecedores</t>
  </si>
  <si>
    <t>Dependência critica do SAP-FI com baixa tolerância a falhas</t>
  </si>
  <si>
    <t>Interrupção do serviço pelo fornecedor</t>
  </si>
  <si>
    <t>Indisponibilidade do SAP-FI entre os dias 25 a 30 de cada mês ocasionando parada no faturamento</t>
  </si>
  <si>
    <t>Risco Financeiro</t>
  </si>
  <si>
    <t>- Paralisação do faturamento
- Atraso no fluzo de caixa
- Risco de multas e/ou penalidades
- Acumulo de operações e retrabalho
- Impacto no EBITDA
- Aumento de reclamação de clientes</t>
  </si>
  <si>
    <t>4</t>
  </si>
  <si>
    <t>5</t>
  </si>
  <si>
    <t>Mitigar - implementar Plano de Continuidade de Negócios com definição de RTO e RPO, incluindo procedimentos de contingência manual; realização de testes periodicos
Transferir - acordo de co-responsabilidde com fornecedor</t>
  </si>
  <si>
    <t>Seguro cibernetico
Backup</t>
  </si>
  <si>
    <t>Diretoria de Riscos e GCN</t>
  </si>
  <si>
    <t>365 dias</t>
  </si>
  <si>
    <t xml:space="preserve">KRI1 - Tempo de resposta do SAP‑FI acima do normal entre os dias 20 e 30
KRI2 - Monitorar capacidade de servidores acima de 80% (CPU, memória, storage)
KRI3 - Monitoração do volume de notas pendentes acima do normal antes do dia 25
KRI4 - Validação de backups do SAP com falhas ou não testados
</t>
  </si>
  <si>
    <t xml:space="preserve">KRI1 - Suspender mudanças e deploys no ambiente SAP até estabilização; Priorizar resolução de incidentes relacionados ao SAP-FI; Aumentar capacidade temporária (se houver elasticidade)
KRI2 - Realocar carga entre servidores (balanceamento); Aumentar recursos computacionais (vertical ou horizontal)
KRI3 - Priorizar processamento de notas críticas (maior valor, maior volume)
KRI4 - Executar backup completo imediatamente; Validar integridade dos backups existentes
</t>
  </si>
  <si>
    <t>Equipe de TI e Negócios</t>
  </si>
  <si>
    <t>Semanalmente</t>
  </si>
  <si>
    <t xml:space="preserve">Métricas de latencia, capacidade via ferramenta de monitoração; Comparar com média histórica dos últimos 6 meses; - Verificar logs de backup diariamente.
- Validar se o backup foi concluído sem erros.
- Realizar testes de restauração em ambiente de homologação.
- Registrar falhas e tempo de recuperação.
Periodicidade
- Diária para execução do backup.
- Mensal para teste de restauração.
- Semestral para teste completo de DR (se existir).
Limites
- Verde: backup concluído e testado
- Amarelo: backup concluído com alertas
- Vermelho: backup com falha ou sem teste
Como consolidar a medição dos controles
A empresa deve criar um Painel de Controles do SAP-FI, contendo:
- Indicadores de cada controle
- Tendências
- Limites (verde/amarelo/vermelho)
- Ações tomadas
- Responsáveis
- Histórico dos últimos meses
Esse painel deve ser revisado:
- Diariamente entre os dias 20 e 30
- Semanalmente nos demais períodos
- Mensalmente em comitê de riscos
Resumo executivo
A medição dos controles deve ser:
- Objetiva (indicadores claros)
- Periódica (diária, semanal, mensal)
- Responsável (quem mede e quem reage)
- Comparativa (baseline histórico)
- Classificada (verde/amarelo/vermelho)
Assim, a empresa consegue saber antes se o SAP-FI está caminhando para uma indisponibilidade no período crítico.
Se quiser, posso montar:
uma tabela completa com controles + como medir + limites + responsáveis,
ou um modelo de dashboard de KRIs e controles para anexar ao relatório.
</t>
  </si>
  <si>
    <t>R 004</t>
  </si>
  <si>
    <t>FI - Seguranca, saude e meio ambiente</t>
  </si>
  <si>
    <t>Segurança física dos DCs insuficientes no período noturno</t>
  </si>
  <si>
    <t xml:space="preserve">Assaltantes podem invadir o local, subtrair produtos, atingir colaboradores, paralisar a operação e impactar a imagem da instituição </t>
  </si>
  <si>
    <t>Um assalto pode impactar a continuidade dos negócios e gerar prejuízos financeiros e operacionais.</t>
  </si>
  <si>
    <t>Risco Operacional</t>
  </si>
  <si>
    <t>- Perda de produtos
- Atrasos na operação
- Afastamento de funcionarios
- Impacto na imagem da organização
- Maior probabilidade de novas ocorrencias</t>
  </si>
  <si>
    <t>Transferência e Mitigação</t>
  </si>
  <si>
    <t xml:space="preserve"> Contratação de seguro patrimonial / Contratação de Segurança Externa para apoio em incidentes / Aumento do efetivo da segurança interna no período noturno / Ativação de sistema de CFTV no período noturno</t>
  </si>
  <si>
    <t>Diretor de Segurança</t>
  </si>
  <si>
    <t>3 meses</t>
  </si>
  <si>
    <t>KRI 1 - Número de tentativas de assaltos bem-sucedidas por mês = 2
KRI 2 - Quantidade de horas de paralisação de produção por tentativas de assaltos por mês = 4h</t>
  </si>
  <si>
    <t>Reavaliação das estruturas de segurança
Entrevista com os envolvidos nos incidentes para coleta de dados para aperfeiçoamento das brechas</t>
  </si>
  <si>
    <t>Área de Riscos</t>
  </si>
  <si>
    <t>8</t>
  </si>
  <si>
    <t>Analise de eficacia dos sistemas e processos de segurança implementados</t>
  </si>
  <si>
    <t>R 005</t>
  </si>
  <si>
    <t>Inexistência de uma estrutura formal de defesa cibernética e falta de governança de TI</t>
  </si>
  <si>
    <t>Agentes externos (hackers) podem explorar vunerabilidades no ambiente;  vazamento de dados por funcionários interno e indisponibilidade de sistemas críticos por falta de monitoramento</t>
  </si>
  <si>
    <t>Um ataque racker pode vazar dados de clientes causando perda de reputação; Falta de gestão causando incerteza quanto à capacidade da empresa em proteger seus dados e manter a operação online</t>
  </si>
  <si>
    <t>Perda de receita por queda do site, multas regulatórias, perda de reputação e impedimento de processos de fusão/venda (M&amp;A)</t>
  </si>
  <si>
    <t>Mitigar e Evitar</t>
  </si>
  <si>
    <t>Contratação imediata de um CISO ou consultoria especializada em GRC; implementação de Política de Segurança da Informação e segregação de funções entre Infraestrutura e Segurança</t>
  </si>
  <si>
    <t>Especialista em Segurança Digital e Riscos Cyber</t>
  </si>
  <si>
    <t>30 a 60 dias para contratação e diagnóstico inicial</t>
  </si>
  <si>
    <t>Tentativa de acesso não autorizado em repositórios de código ou falhas no SAP-FI por mais de 4 horas</t>
  </si>
  <si>
    <t>Acionamento do Plano de Resposta a Incidentes (a ser criado) e isolamento de sistemas afetados</t>
  </si>
  <si>
    <t>Especialista em Segurança Digital</t>
  </si>
  <si>
    <t>Tempo real (Monitoramento contínuo)</t>
  </si>
  <si>
    <t>18</t>
  </si>
  <si>
    <t>Através de Auditorias de TI e redução no número de incidentes de vazamento reportados nos próximos 6 meses</t>
  </si>
  <si>
    <t>R 006</t>
  </si>
  <si>
    <t>FE - Clientes</t>
  </si>
  <si>
    <t>Comportamento sensivél dos clientes frente ao mercado</t>
  </si>
  <si>
    <t>Falhas de entrega, erros de preços e inconsistências operacionais</t>
  </si>
  <si>
    <t>Falha na entrega ou erro de precificação causando queda nas vendas devido a sensibilidade do cliente, o levando a realizar reclamações e/ou devoluções</t>
  </si>
  <si>
    <t>Danos à reputação, perda de vendas, cancelamentos e devoluções, comprometendo objetivos de mercado e fidelização.</t>
  </si>
  <si>
    <t>Mitigar</t>
  </si>
  <si>
    <t>Padronização e dupla aprovação no cadastro de preços; melhoria dos SLAs com parceiros logísticos; monitoramento contínuo de reclamações, cancelamentos e devoluções; auditorias de preços e promoções; ajustes rápidos em erros identificados; acionamento de contingência logística; revisão de indicadores de satisfação e governança periódica com áreas responsáveis e parceiros.</t>
  </si>
  <si>
    <t>Diretoria Comercial / Experiência do Cliente (Owner). Corresponsáveis: Operações/Logística (SLA e OTIF), SAC (reclamações/NPS) e TI/Comercial (governança de preços e publicações).</t>
  </si>
  <si>
    <t>4 meses</t>
  </si>
  <si>
    <t>Aumento de reclamações acima da média histórica, taxa de cancelamentos superior a 5% e devoluções acima de 10% no mês.</t>
  </si>
  <si>
    <t>Acionar plano de resposta ao cliente, corrigir imediatamente erros de preço ou falhas de entrega, comunicar clientes afetados, revisar SLAs com parceiros e priorizar casos críticos no SAC para reduzir impacto e recuperar confiança.</t>
  </si>
  <si>
    <t>SAC / Atendimento ao Cliente, com apoio das áreas Comercial e Operações (Logística).</t>
  </si>
  <si>
    <t>Mensalmente, com acompanhamento semanal dos indicadores críticos de reclamações, cancelamentos e devoluções.</t>
  </si>
  <si>
    <t>14</t>
  </si>
  <si>
    <t>Por meio da redução consistente das reclamações dos clientes, diminuição das taxas de cancelamentos e devoluções, melhoria no cumprimento dos prazos de entrega (OTIF) e redução de erros de preços, verificados por meio de indicadores mensais comparados à linha de base anterior aos controles.</t>
  </si>
  <si>
    <t>R 007</t>
  </si>
  <si>
    <t>FI - Processos internos</t>
  </si>
  <si>
    <t>Inexistência do PCN para a infraestrutura da XYZ Cloud</t>
  </si>
  <si>
    <t>Falha no hardware dos servidores do DataCenter da XYZ Cloud</t>
  </si>
  <si>
    <t>Falha no hardware dos servidores do DataCenter da XYZ Cloud causando indisponibilidade do ambiente produtivo da DAMACORP.</t>
  </si>
  <si>
    <t>NÃO</t>
  </si>
  <si>
    <t>Risco Tecnológico</t>
  </si>
  <si>
    <t xml:space="preserve">- Perca de Clientes
- Perca de Dados
</t>
  </si>
  <si>
    <t>A consultoria deverá estruturar o Sistema de Gestão de Continuidade de Negócios (SGCN) com base na ISO 22301, estabelecendo a governança de crise e a Política de Continuidade. O foco inicial será a execução da Análise de Impacto de Negócio (BIA) e Análise de Risco, definindo tempos críticos de recuperação (RTO/RPO) e identificando ameaças à resiliência operacional e tecnológica da organização.
Com base nos diagnósticos, serão desenhadas as Estratégias de Contingência para Negócio e TI, implementando arquiteturas de alta disponibilidade e processos alternativos que suportem o SLA de 100%. Isso inclui a criação de planos de recuperação de desastres (DRP) e protocolos de acionamento imediato para garantir a disponibilidade ininterrupta dos serviços críticos.
O controle estende-se à Cadeia de Suprimentos, exigindo a avaliação técnica de terceiros para garantir que fornecedores críticos possuam resiliência compatível e conformidade regulatória comprovada. A consultoria deve realizar a due diligence desses parceiros, mitigando riscos de interrupção por falhas em elos externos da operação.
Para validar a eficácia do sistema, a contratada será responsável pela elaboração e execução de um Cronograma Anual de Testes (simulados e reais). Cada ciclo de teste deverá gerar um Relatório de Performance, documentando o cumprimento dos SLAs, lacunas identificadas e planos de ação para a melhoria contínua do SGCN.</t>
  </si>
  <si>
    <t>Gestão de Tecnologia e Negócio</t>
  </si>
  <si>
    <t>150 a 180 dias para contratação e estruturação do SGCN</t>
  </si>
  <si>
    <t>KRI1 → Instabilidade do ambiente produtivo
KRI2 → Alta latência do ambiente produtivo
KRI3 → Indisponibilidade do ambiente produtivo</t>
  </si>
  <si>
    <t>Acionamento do Plano de Continuidade de Negócios para recuperação da infraestrutura</t>
  </si>
  <si>
    <t>Equipe de Monitoramento;
Equipe de Negócios;
Equipe de Tecnologia;
Equipe de Resposta a Incidentes.</t>
  </si>
  <si>
    <t>Medição da maturidade do SGN da Damacorp:
- Percentual de requisitos da ISO 22301 implementados
- Existência e atualização da Política de Continuidade
- Comitê de Crise ativo e com reuniões registradas
- Auditorias internas realizadas e aprovadas
Medição da disponibilidade do ambiente produtivo, por parte da XYZ Cloud:
- Disponibilidade mensal do ambiente (SLA real)
- Número de incidentes de indisponibilidade
- Tempo médio de recuperação (MTTR)</t>
  </si>
  <si>
    <t>R 008</t>
  </si>
  <si>
    <t>FE - Meio ambiente</t>
  </si>
  <si>
    <t>Eventos climáticos severos</t>
  </si>
  <si>
    <t>Interdições de vias, enchentes, tempestades e alagamentos explorando a dependência logística e a vulnerabilidade dos DCs e das rotas de transporte]</t>
  </si>
  <si>
    <t>Um enchente pode bloquear o processo logistico da entrega, causando interrupções e atrasos generalizados nas entregas e insastifação do cliente.</t>
  </si>
  <si>
    <t>Risco Reputacional</t>
  </si>
  <si>
    <t>Atrasos nas entregas, aumento de reclamações, cancelamentos e prejuízos, com impacto direto na reputação e nas vendas.</t>
  </si>
  <si>
    <t>Plano de contingência climática com rotas alternativas e operadores adicionais; monitoramento meteorológico; acionamento imediato de transportadoras alternativas; comunicação proativa aos clientes; revisão de SLAs logísticos; análise de desempenho em clima severo e lições aprendidas.</t>
  </si>
  <si>
    <t>Diretoria de Operações (Logística</t>
  </si>
  <si>
    <t>3 meses para implantação do plano de contingência e ajustes de SLAs, com monitoramento semanal em períodos de chuva intensa.</t>
  </si>
  <si>
    <t>OTIF &lt; 90%, aumento de reclamações por atraso e cancelamentos acima de 5% durante eventos climáticos.</t>
  </si>
  <si>
    <t>Acionar contingência logística, priorizar entregas críticas, comunicar clientes afetados e revisar SLAs com transportadoras para restabelecer o nível de serviço.</t>
  </si>
  <si>
    <t>Operações / Logística (Owner da medição de OTIF e desempenho de transportadoras), com apoio do SAC/Atendimento (reclamações por atraso) e Comercial (promessas de prazo).</t>
  </si>
  <si>
    <t>Mensalmente, com acompanhamento semanal dos indicadores críticos (OTIF por rota/região, reclamações por atraso e cancelamentos) durante períodos de chuva intensa.</t>
  </si>
  <si>
    <t>11</t>
  </si>
  <si>
    <t>Melhora do OTIF, redução de atrasos por clima, queda nas reclamações por entrega, diminuição de cancelamentos e devoluções, comparados à linha de base anterior.</t>
  </si>
  <si>
    <t>R 009</t>
  </si>
  <si>
    <t>FI - Diretoria / Liderança / Sócios</t>
  </si>
  <si>
    <t>Conexão familiar de sócio com entidade envolvida em esquemas de corrupção e lavagem de dinheiro</t>
  </si>
  <si>
    <t>Investigações da Polícia Federal (Operações derivadas), bloqueio de contas judiciais, busca e apreensão nos CDs ou sede e desconfiança de investidores</t>
  </si>
  <si>
    <t>Incerteza quanto à continuidade do negócio e manutenção da imagem institucional devido ao receio de "contágio" reputacional ou envolvimento indireto em processos de corrupção</t>
  </si>
  <si>
    <t>Rescisão de contratos com fabricantes, recusa de crédito bancário, cancelamento de parcerias logísticas e impossibilidade de venda da empresa (M&amp;A)</t>
  </si>
  <si>
    <t>Mitigar e Aceitar</t>
  </si>
  <si>
    <t>Implementação de um Programa de Compliance robusto; Canal de Denúncias externo; Auditoria independente (Big Four) para validar balanços; Cláusulas de Due Diligence rigorosas em novos contratos</t>
  </si>
  <si>
    <t>Direção Estratégica e Relações de Mercado</t>
  </si>
  <si>
    <t>90 dias para implementação do programa de integridade</t>
  </si>
  <si>
    <t>Citação do nome da DAMACORP ou de seus sócios em depoimentos, mídias ou investigações correlatas</t>
  </si>
  <si>
    <t>Acionamento do Gabinete de Crise (Assessoria de Imprensa e Jurídico Criminalista) e afastamento preventivo do sócio de funções executivas</t>
  </si>
  <si>
    <t>Direção Estratégica</t>
  </si>
  <si>
    <t>12</t>
  </si>
  <si>
    <t>Através de notas de auditoria sem ressalvas e manutenção das linhas de crédito bancário operacionais</t>
  </si>
  <si>
    <t>R 010</t>
  </si>
  <si>
    <t>Funcionarios mal intencionados</t>
  </si>
  <si>
    <t>Ataque, invasão, DOS</t>
  </si>
  <si>
    <t>Ataque ou invasão devido a facilitação intencional de funcionario interno ocasionando alteração de preços de produtos caros</t>
  </si>
  <si>
    <t>- Perda financeira imediata
 - Aumento de cancelamento e reembolso
- Interrupção de vendas para correção dos preços
- Danos à reputação e imagem</t>
  </si>
  <si>
    <t>Mitigar
- Implementação de controles rigorosos de acesso
- Monitoramento contínuo
- Desenvolvimento seguro (proibir BYOD; repositorios internos seguros; revisão de código)</t>
  </si>
  <si>
    <t>Implementação de monitoramento e detecção;
Controle de infraestrutura e rede (firwall, segmentação de rede, waf, etc)</t>
  </si>
  <si>
    <t>Segurança da Informação</t>
  </si>
  <si>
    <t>30 dias</t>
  </si>
  <si>
    <t>KRI 1 - monitoramento de acessos suspeitos;
KRI 2 - contas com acesso privilegiados acima do necessario
KRI 3 - acesso de terceiros sem contrato ativo</t>
  </si>
  <si>
    <t>Gestão de risco de TI</t>
  </si>
  <si>
    <t>20</t>
  </si>
  <si>
    <t xml:space="preserve">Medir a efetividade dos Controles de Infraestrutura e Rede (Firewall, WAF, Segmentação):
- Número de tentativas de acesso bloqueadas pelo firewall
- Número de requisições maliciosas bloqueadas pelo WAF
- Percentual de regras de firewall revisadas e atualizadas
- Testes de penetração internos e externos aprovados
- Avaliação de segmentação de rede (zero trust, VLANs, microsegmentação)
- Número de vulnerabilidades críticas corrigidas dentro do SLA
</t>
  </si>
  <si>
    <t>R 011</t>
  </si>
  <si>
    <t>Ausência de processo de KYS dentro da DAMACORP</t>
  </si>
  <si>
    <t>Fraudes, corrupção, desvio de verba por parte do fornecedore</t>
  </si>
  <si>
    <t>Contratação de fornecedores fraudulentos ocasionando fraudes na companhia.</t>
  </si>
  <si>
    <t>- Perca de Cliente;
- Lavagem de dinheiro;
- Multas;
- Perda de marketshare;
- Imagem afetada.</t>
  </si>
  <si>
    <t>Mitigar:
- Implementar uma esteira de Homologação de Serviço de Terceiros na companhia;
- Elaboração das áreas pareceristas;
- Elaboração da esteira de fornecedores relevantes para a companhia;
- Elaboração da gestão orçamentária para contratação de terceiros.</t>
  </si>
  <si>
    <t>Elaboração do processo de Homologação de Prestadores de Serviço, para definir os riscos que o prestador de serviço pode trazer para a companhia e definir quais prestadores não são recomendados a contratação.</t>
  </si>
  <si>
    <t>- Governança de Terceiros;
- Compliance;
- Segurança da Informação;
- Continuidade de Negócios;
- Arquitetura de Tecnologia</t>
  </si>
  <si>
    <t>KRI1 → Fornecedor possui um risco alto ou acima conforme norma;
KRI2 → Fornecedor possui histórico de indícios de trabalho infantil;
KRI3 → Fornecedor não cumpre o mínimo da régua de risco estabelecida por cada área parecerista.</t>
  </si>
  <si>
    <t>Plano de ação para o prestador de serviço se adequar as necessidades da companhia</t>
  </si>
  <si>
    <t>Áreas pareceristas</t>
  </si>
  <si>
    <t>A cada avaliação</t>
  </si>
  <si>
    <t>A conformidade dos prestadores de serviço conforme régua de risco.</t>
  </si>
  <si>
    <t>R 012</t>
  </si>
  <si>
    <t>Aumento da diversificação de produtos</t>
  </si>
  <si>
    <t>Aumento significativo da atuação das áreas de pesquisa, mkt e produção em mercados desconhecidos</t>
  </si>
  <si>
    <t>A empresa pretende atuar em ramos diversificados, os quais não possui experiencia, dificultando o ganho de marketshare e adequação dos processos internos</t>
  </si>
  <si>
    <t>- Perda de clientes
- Diminuição de faturamento
- Aumento de custos de estoque</t>
  </si>
  <si>
    <t>Mitigar e Transferir</t>
  </si>
  <si>
    <t>- Contratação de marketing externo de nicho específico dos novos produtos
- Divisão do CD por tipo de produto</t>
  </si>
  <si>
    <t>Diretorias Comerciais e de Logistica</t>
  </si>
  <si>
    <t>- Não atingimento dos objetivos de vendas durante 3 meses consecutivos
- Aumento de 10% de perdas de produtos estocados no trimestre</t>
  </si>
  <si>
    <t>- Plano de ação para revisão das estratégias de vendas e mkt
- Plano de ação para revisão das estratégias de estocagem e logística</t>
  </si>
  <si>
    <t>Gestão de Operações e Financeiro</t>
  </si>
  <si>
    <t>Atingimento das metas de vendas e diminuição das perdas de estoque</t>
  </si>
  <si>
    <t>R 013</t>
  </si>
  <si>
    <t>Operação baseada em "Estoque Zero" com dependência direta de entregas realizadas por fabricantes e terceiros</t>
  </si>
  <si>
    <t>Quebra de estoque no fabricante, atrasos logísticos de terceiros e falta de integração de sistemas de rastreio em tempo real</t>
  </si>
  <si>
    <t>Incerteza quanto ao cumprimento do objetivo estratégico de "Aumentar em 8% a recorrência das compras" e "Alcançar 26% mais clientes", devido ao alto volume de cancelamentos e devoluções inerentes ao modelo atual</t>
  </si>
  <si>
    <t>Erosão da margem de lucro por custos de logística reversa, perda de clientes para concorrentes com estoque próprio e danos à imagem da marca</t>
  </si>
  <si>
    <t>Implementação de SLAs (Acordos de Nível de Serviço) mais rígidos com fornecedores; Integração sistêmica via API para visibilidade de estoque real do fabricante; Contratação de seguro para interrupção de suprimentos</t>
  </si>
  <si>
    <t>Diretora de Operações (COO)
Diretora de Expansão/Vendas</t>
  </si>
  <si>
    <t>90 dias para renegociação de contratos com os 10 principais fornecedores</t>
  </si>
  <si>
    <t>Índice de cancelamento de pedidos por falta de produto superior a 5% do total de vendas mensal</t>
  </si>
  <si>
    <t>Suspensão temporária do anúncio do produto e auditoria no processo de atualização de estoque do parceiro</t>
  </si>
  <si>
    <t>Gestão de Operações</t>
  </si>
  <si>
    <t>15</t>
  </si>
  <si>
    <t>Através da redução do número de reclamações no "Reclame Aqui" e aumento no NPS (Net Promoter Score) da DAMACORP</t>
  </si>
  <si>
    <t>R 014</t>
  </si>
  <si>
    <t>Falta de politica interna para desenvolvimento</t>
  </si>
  <si>
    <t>Utilização de repositorio online publico para armazenamento de codigos criticos</t>
  </si>
  <si>
    <t>Armazenamento não autorizado de codigo-fonte ocasionando exposição acidental ou intencional, facilitando ataques, manipulação e vazamento de informações</t>
  </si>
  <si>
    <t>- Exposição do codigo-fonta da plataforma
 - Vazamento de credenciais e chaves
- Facilitação de ataques ciber
- Perda de propriedade intelectual
- Inconformidade com LGPD</t>
  </si>
  <si>
    <t>Mitigar
- Bloqueio de repositorios externos
- Implementar reposotorio corporativo seguro
 - Implementação de autenticação forte (MFA)
- Bloqueio do equipamento fisico (laptop)</t>
  </si>
  <si>
    <t>Mitigar
-  Politica de desenvolvimento
- Treinamentos colaborativos</t>
  </si>
  <si>
    <t>Equipe de TI</t>
  </si>
  <si>
    <t>Imediato</t>
  </si>
  <si>
    <t xml:space="preserve">KRI1 - - Número de violações de política de desenvolvimento seguro
KRI2 - Acessos a repositórios externos (GitHub/GitLab) pela rede corporativa
KRI3 - - Tentativas de acesso ao repositório interno por IPs externos
</t>
  </si>
  <si>
    <t xml:space="preserve">- Isolar o usuário e revogar todas as credenciais.
- Bloquear imediatamente o tráfego para repositórios externos.
</t>
  </si>
  <si>
    <t>Efetividade da Governança e Auditoria
- Frequência de auditorias de repositórios internos
- Número de não conformidades encontradas
- Tempo de correção das não conformidades
- Existência e atualização de políticas de versionamento e acesso</t>
  </si>
  <si>
    <t>R 015</t>
  </si>
  <si>
    <t>Escassez de insumos para produção</t>
  </si>
  <si>
    <t>Guerra comerciais globais</t>
  </si>
  <si>
    <t>Falta de produtos para venda</t>
  </si>
  <si>
    <t>Impacto nas operações e receitas</t>
  </si>
  <si>
    <t>Ampliação do portfolio de fornecedores considerando diferentes localidades</t>
  </si>
  <si>
    <t>180 dias</t>
  </si>
  <si>
    <t>KRI1 - Compra de &gt; 50% de fornecedores do mesmo país</t>
  </si>
  <si>
    <t>Apresentação de lista de fornecedores prospects com variação de preços e receitas previstas</t>
  </si>
  <si>
    <t>Diretoria de Operações (Logística)</t>
  </si>
  <si>
    <t>Bimestral</t>
  </si>
  <si>
    <t>Acompanhamento da diminuição da concentração de fornecedores</t>
  </si>
  <si>
    <t>R 016</t>
  </si>
  <si>
    <t>Armazenamento inadequado de informações sensíveis (em repositórios online ou dispositivos BYOD) e acesso indiscriminado de agências de marketing aos dados de clientes</t>
  </si>
  <si>
    <t>Hackers (Ransomware), funcionários mal-intencionados (ex-colaboradores com acesso ao código/dados) ou fiscalização da ANPD</t>
  </si>
  <si>
    <t>Incerteza quanto ao objetivo de "Aperfeiçoar a conformidade legal e regulatória" e à sustentabilidade do faturamento, devido ao risco de sanções judiciais e perda de confiança do consumidor</t>
  </si>
  <si>
    <t>Multas pesadas da ANPD, proibição de tratar dados (paralisando o e-commerce), processos de indenização cível e danos graves à reputação no "Reclame Aqui"</t>
  </si>
  <si>
    <t>Nomeação de um DPO (Data Protection Officer); Criptografia de dados sensíveis no Banco Oracle; Implementação de um portal de gestão de consentimento; Revisão de contratos com agências de marketing para limitar acessos via APIs controladas; Disponibilizar equipamentos corporativos, evitando uso de dispositivos pessoais</t>
  </si>
  <si>
    <t>Especialista em Riscos Cyber
Diretora de Operações</t>
  </si>
  <si>
    <t>45 dias para o mapeamento de dados (Data Mapping) e ajuste de acessos</t>
  </si>
  <si>
    <t>Qualquer detecção de download de banco de dados pela agência externa fora do padrão contratado ou acesso a dados de clientes via dispositivos pessoais de desenvolvedores</t>
  </si>
  <si>
    <t>Bloqueio imediato das credenciais, notificação ao comitê de crise e auditoria forense nos logs de acesso</t>
  </si>
  <si>
    <t>Especialista em Riscos Cyber</t>
  </si>
  <si>
    <t>Monitoramento contínuo (em tempo real)</t>
  </si>
  <si>
    <t>Através de relatórios de auditoria de conformidade LGPD sem apontamentos críticos e ausência de incidentes de vazamento reportados em 12 meses</t>
  </si>
  <si>
    <t>R 017</t>
  </si>
  <si>
    <t>Falha na custódia de informações estratégicas e falta de sigilo em parcerias com agências externas</t>
  </si>
  <si>
    <t>Espionagem industrial por concorrentes, acesso indevido da agência de marketing a dados confidenciais e vazamento de informações por colaboradores internos insatisfeitos</t>
  </si>
  <si>
    <t>Incerteza quanto ao alcance da meta de "Aumentar a participação no mercado em 26% mais clientes em 5 anos", devido à antecipação das campanhas promocionais pela concorrência</t>
  </si>
  <si>
    <t>Perda de faturamento projetado, obsolescência precoce de campanhas de marketing, redução da competitividade e perda de "market share"</t>
  </si>
  <si>
    <t>Implementação de termos de confidencialidade (NDA) rígidos com agências; Restrição de acesso a dados estratégicos (segregação de acessos); Monitoramento de tráfego de saída de dados (DLP - Data Loss Prevention)</t>
  </si>
  <si>
    <t>Diretora de Expansão e Vendas
Especialista em Riscos Cyber</t>
  </si>
  <si>
    <t>30 dias para revisão de acessos da agência de marketing</t>
  </si>
  <si>
    <t>Identificação de 1 campanha concorrente com similaridade superior a 80% lançada em até 48h antes da Damacorp</t>
  </si>
  <si>
    <t>Troca imediata de credenciais de acesso, auditoria nos logs de quem acessou as peças da campanha e revisão do contrato com a agência</t>
  </si>
  <si>
    <t>Equipe de Marketing 
Inteligência de Mercado</t>
  </si>
  <si>
    <t>Diariamente (Monitoramento da concorrência)</t>
  </si>
  <si>
    <t>Através do aumento da taxa de conversão das campanhas exclusivas e ausência de cópias idênticas no mercado nos próximos 6 meses</t>
  </si>
  <si>
    <t>R 018</t>
  </si>
  <si>
    <t>Conflitos societários, baixa coesão da liderança, críticas a auditorias e fragilidades de governança, gerando decisões inconsistentes e exposição reputacional.</t>
  </si>
  <si>
    <t>Denúncias públicas, crises de imagem e questionamentos de mercado/auditorias explorando a falta de alinhamento e transparência da alta gestão.</t>
  </si>
  <si>
    <t>A possibilidade de que conflitos entre sócios, fragilidades de governança e exposições públicas comprometam metas estratégicas de crescimento, reputação, captação/valor (M&amp;A) e eficiência, gerando perda de credibilidade, impacto em resultados e dificuldade de atingir os objetivos de mercado e clientes.</t>
  </si>
  <si>
    <t>Danos reputacionais e perda de credibilidade afetando auditorias, M&amp;A, parceiros e resultados.</t>
  </si>
  <si>
    <t>Fortalecimento da governança (políticas, alçadas, comitês), código de ética e canal de denúncias; auditorias internas/externas reforçadas; monitoramento de mídia; ações corretivas sobre condutas; comunicação corporativa estruturada; seguro D&amp;O</t>
  </si>
  <si>
    <t>CEO / Conselho de Administração, com apoio de Compliance e Jurídico no monitoramento.</t>
  </si>
  <si>
    <t>6 meses para implementação completa das estruturas de governança e monitoramento mensal dos indicadores críticos de reputação e conformidade.</t>
  </si>
  <si>
    <t>Aumento de denúncias relevantes, achados críticos recorrentes de auditoria e crescimento de menções negativas na mídia envolvendo sócios ou governança.</t>
  </si>
  <si>
    <t>Acionar o protocolo de crise e governança: comunicação executiva transparente; abertura de apuração independente via Compliance/Jurídico; implementação imediata de medidas corretivas e de governança; resposta tempestiva a achados de auditoria; alinhamento com Conselho; e prestação de contas a stakeholders (investidores, auditorias e mercado).</t>
  </si>
  <si>
    <t>Compliance/Jurídico (canal de denúncias, prazos de apuração e achados), Auditoria Interna/Externa (achados e reincidências) e RI/Comunicação (monitoramento de menções negativas na mídia).</t>
  </si>
  <si>
    <t>Mensalmente (relatório consolidado), com acompanhamento imediato/contínuo em caso de denúncias relevantes, achados críticos de auditoria ou pico de menções negativas na mídia.</t>
  </si>
  <si>
    <t>9</t>
  </si>
  <si>
    <t>Redução de denúncias relevantes sem resposta e de achados críticos recorrentes de auditoria; diminuição de menções negativas na mídia; melhoria do tempo de resposta a auditorias/órgãos e aderência às políticas de governança, comparados à linha de base anterior aos controles.</t>
  </si>
  <si>
    <t>R 019</t>
  </si>
  <si>
    <t>FI - Recursos Humanos e força de trabalho</t>
  </si>
  <si>
    <t>Liderança de TI com mentalidade de "gestão por crise" e falta de vivência em e-commerce</t>
  </si>
  <si>
    <t>Conflitos internos entre a equipe técnica e o executivo de TI, desmotivação dos talentos e perda de conhecimento crítico</t>
  </si>
  <si>
    <t>Incerteza quanto à capacidade de reter talentos e reduzir o turnover em 4%, devido a uma cultura organizacional que celebra o caos em vez da prevenção</t>
  </si>
  <si>
    <t>Aumento dos custos de recrutamento e treinamento, atrasos no desenvolvimento de novas funcionalidades e perda de capital intelectual para concorrentes</t>
  </si>
  <si>
    <t>Implementação de programas de desenvolvimento de liderança; Pesquisas de clima organizacional trimestrais; Reestruturação das metas de TI focadas em disponibilidade (prevenção) e não em resolução de crises</t>
  </si>
  <si>
    <t>Diretora de Operações
RH</t>
  </si>
  <si>
    <t>180 dias para mudança cultural e novos KPIs</t>
  </si>
  <si>
    <t>Índice de turnover na equipe de TI superior a 10% em um semestre</t>
  </si>
  <si>
    <t>Entrevistas de desligamento detalhadas e revisão da posição de liderança do executivo de TI</t>
  </si>
  <si>
    <t>Departamento de RH</t>
  </si>
  <si>
    <t>Semestralmente</t>
  </si>
  <si>
    <t>Através da melhoria nos índices de satisfação interna e redução de falhas operacionais evitáveis</t>
  </si>
  <si>
    <t>R 020</t>
  </si>
  <si>
    <t>FE - Governo</t>
  </si>
  <si>
    <t xml:space="preserve">Fiscalização intensificada pela ANPD (Autoridade Nacional de Proteção de Dados) e novas regulamentações de proteção de dados.
</t>
  </si>
  <si>
    <t xml:space="preserve">Fiscalização e autuação pela ANPD
</t>
  </si>
  <si>
    <t xml:space="preserve">Fiscalização pela ANPD ocasionando multas de até 2% do faturamento e sanções por descumprimento da LGPD, devido à falta de proteção adequada de dados de clientes
</t>
  </si>
  <si>
    <t>Risco de Conformidade (Regulatório e Legal)</t>
  </si>
  <si>
    <t xml:space="preserve">Multas de até 2% do faturamento (R$7M), suspensão parcial de atividades de tratamento de dados, dano reputacional severo, perda de confiança de clientes e parceiros.
</t>
  </si>
  <si>
    <t xml:space="preserve">Nomeação de DPO, Programa de conformidade LGPD, Mapeamento de dados pessoais, Política de privacidade atualizada, Treinamento de colaboradores, Auditorias periódicas de privacidade.
</t>
  </si>
  <si>
    <t xml:space="preserve">DPO
Jurídico
</t>
  </si>
  <si>
    <t xml:space="preserve">6 meses
</t>
  </si>
  <si>
    <t xml:space="preserve">Nível de conformidade LGPD (%); Número de reclamações de titulares; Tempo de resposta a solicitações DSAR
</t>
  </si>
  <si>
    <t xml:space="preserve">Acionar plano de adequação emergencial e notificar ANPD sobre medidas corretivas
</t>
  </si>
  <si>
    <t>DPO</t>
  </si>
  <si>
    <t>13</t>
  </si>
  <si>
    <t xml:space="preserve">Resultado de auditorias de privacidade. Tempo de resposta a incidentes de dados. Nível de conformidade LGPD.
</t>
  </si>
  <si>
    <t>R 021</t>
  </si>
  <si>
    <t>Ausência de Plano de Continuidade de Negócios</t>
  </si>
  <si>
    <t>Um desastres fisicos no data center que atende a empresa</t>
  </si>
  <si>
    <t>Um incêndio nas dependências do DC que atende a empresa causando indisponibilidade tecnologica</t>
  </si>
  <si>
    <t>Risco Ambiental e Climático</t>
  </si>
  <si>
    <t>Paralização de operações; impactos financeiros; impactos regulatórios</t>
  </si>
  <si>
    <t>Evidências do monitoramento do DataCenter e evidências do teste de equipamento contra incêndio</t>
  </si>
  <si>
    <t>Diretoria TI - infraestrutura</t>
  </si>
  <si>
    <t>10 dias</t>
  </si>
  <si>
    <t xml:space="preserve">KRI1-Monitoramento de infraestrutura e energia no DC;
KRI2-Segurança patrimonial (acessos não autorizados; porta corta-fogo; materiais inflamaveis)
</t>
  </si>
  <si>
    <t xml:space="preserve">Imediato: verificaçao da infraestrutura; validar se backup estão integros;  acionamento do plano de contingência; operar no site de contingência até recuperação
</t>
  </si>
  <si>
    <t>Diretoria de TI/Facilities</t>
  </si>
  <si>
    <t>Diariamente</t>
  </si>
  <si>
    <t>Evidências da XYZ Cloud para:
Efetividade do Monitoramento de Infraestrutura e Energia
Efetividade da Segurança Patrimonial
Efetividade da prevenção de incêndio</t>
  </si>
  <si>
    <t>R 022</t>
  </si>
  <si>
    <t>Vazamento de informação interna</t>
  </si>
  <si>
    <t>Funcionario com acessos priveligiados</t>
  </si>
  <si>
    <t>Um funcionario com acesso alem do que necessário causando vazamento de campanhas internas ao concorrente</t>
  </si>
  <si>
    <t>Impacto regulatório; LGPD</t>
  </si>
  <si>
    <t>Revisão periódica de acessos (trimestral); Código de conduta com cláusula de uso de informações; Canal confidencial de denúncias; Monitoramento de acessos privilegiados (PAM); Segregação de funções em sistemas críticos; Investigação interna para incidentes de vazamento; Termo de responsabilidade sobre uso de informações confidenciais; Política de mesa limpa e tela limpa</t>
  </si>
  <si>
    <t>Segurança da Informação; Compliance e Juridico</t>
  </si>
  <si>
    <t>KRI1-Monitoramento de acessos;
KRI2-Movimentação de dados;
KRI3-Monitoramento de comportamento anômalo</t>
  </si>
  <si>
    <t>Revisão de logs de usuarios envolvidos; validação de acesso; registro do evento; suspensão do acesso; isolamento de equipamento (notebook etc); acionamento do juridico e RH para disciplina</t>
  </si>
  <si>
    <t>Segurança da Informação; Compliance</t>
  </si>
  <si>
    <t>Revisão de acessos:
- Percentual de acessos revisados dentro do prazo.
- Número de acessos indevidos identificados e removidos.
- Tempo médio para correção de acessos irregulares.
- Redução de privilégios excessivos ao longo do tempo
Código de conduta assinado por todos os funcionarios
Canal confidêncial de denuncias</t>
  </si>
  <si>
    <t>R 023</t>
  </si>
  <si>
    <t>Greve no entorno da sede ou filial</t>
  </si>
  <si>
    <t>Ativistas podem interditar ruas impedindo funcionarios de chegar à empresa</t>
  </si>
  <si>
    <t>Uma greve impossibilitando funcionarios de chegar a empresa causando parada nos processos por falta de equipe</t>
  </si>
  <si>
    <t>Risco Humano (Pessoas e Cultura Organizacional)</t>
  </si>
  <si>
    <t>Impacto nas operações</t>
  </si>
  <si>
    <t>Acompanhamento de eventos externos (pandemias, crises, greves); Plano de comunicação interna para cenários de crise; VPN obrigatória para trabalho remoto; Infraestrutura de trabalho remoto (notebooks, acesso seguro); Plano de contingência operacional para indisponibilidade de pessoal; Acordo com sindicatos e plano de negociação preventiva; Diversificação geográfica de equipes críticas</t>
  </si>
  <si>
    <t>Diretoria de Riscos, Compliance</t>
  </si>
  <si>
    <t>KRI1 -Relação Sindical;
KRI2- Dependencia Operacional</t>
  </si>
  <si>
    <t>Sala de crise para acompanhamento; Liberação para trabalho remoto; realocação de equipes; redistribuição de tarefas</t>
  </si>
  <si>
    <t>Diretoria de Riscos e Crises; RH e Juridico</t>
  </si>
  <si>
    <t>Acompanhamento de eventos externos (pandemias, crises, greves):
- Frequência de monitoramento de fontes oficiais (sindicatos, governo, notícias).
- Número de alertas antecipados identificados antes de impactar a operação.
- Tempo de resposta entre detecção do evento e comunicação interna
Plano de contingência operacional para indisponibilidade de pessoal
- Existência e atualização do plano.
- Número de processos críticos com backup de pessoal.
- Tempo para ativar contingência após início da greve.
- Testes de contingência realizados e aprovados</t>
  </si>
  <si>
    <t>R 024</t>
  </si>
  <si>
    <t>Ausência de profissional dedicado à segurança da informação na estrutura organizacional, com responsabilidades dispersas entre TI e outras áreas.</t>
  </si>
  <si>
    <t xml:space="preserve">Falta de monitoramento e resposta a incidentes de segurança
</t>
  </si>
  <si>
    <t xml:space="preserve">Ausência de profissional dedicado à segurança da informação ocasionando falta de monitoramento contínuo e resposta inadequada a incidentes cibernéticos, aumentando a exposição a ataques
</t>
  </si>
  <si>
    <t xml:space="preserve">Risco de Segurança da Informação (Cibernético)
</t>
  </si>
  <si>
    <t>Incidentes de segurança não detectados a tempo, aumento do tempo de resposta (MTTR), maior superfície de ataque, vulnerabilidades não corrigidas, possível comprometimento de dados.</t>
  </si>
  <si>
    <t xml:space="preserve">Mitigar e Evitar
</t>
  </si>
  <si>
    <t xml:space="preserve">Contratação de CISO/profissional de SI, Implementação de SOC (próprio ou terceirizado), Ferramentas de SIEM, Política de segurança da informação, Programa de conscientização.
</t>
  </si>
  <si>
    <t xml:space="preserve">CIO / RH
</t>
  </si>
  <si>
    <t xml:space="preserve">3 meses
</t>
  </si>
  <si>
    <t xml:space="preserve">Tempo médio de detecção de incidentes (MTTD); Número de vulnerabilidades não corrigidas; Cobertura de monitoramento de ativos
</t>
  </si>
  <si>
    <t xml:space="preserve">Contratar SOC terceirizado emergencial e iniciar processo seletivo para CISO
</t>
  </si>
  <si>
    <t xml:space="preserve">Mensalmente
</t>
  </si>
  <si>
    <t xml:space="preserve">MTTD/MTTR de incidentes. Cobertura de monitoramento. Número de vulnerabilidades críticas abertas.
</t>
  </si>
  <si>
    <t>R 025</t>
  </si>
  <si>
    <t>Agência de marketing digital acessando dados de clientes diariamente ocasionando risco de vazamento de dados pessoais e eventual descumprimento de LGPD</t>
  </si>
  <si>
    <t>Vazamento de dados por agência de marketing</t>
  </si>
  <si>
    <t>Vazamento de dados pessoais de clientes, multas LGPD, perda de confiança de clientes, dano reputacional, possíveis processos judiciais individuais e coletivos.</t>
  </si>
  <si>
    <t xml:space="preserve">Mitigar e Transferir
</t>
  </si>
  <si>
    <t xml:space="preserve">Contrato com cláusulas de proteção de dados (DPA), Acesso restrito por API com dados anonimizados, Auditoria periódica da agência, Seguro cibernético, Monitoramento de acessos.
</t>
  </si>
  <si>
    <t xml:space="preserve">DPO / Marketing
</t>
  </si>
  <si>
    <t xml:space="preserve">Volume de dados compartilhados com agência; Número de acessos não autorizados; Resultado de auditorias na agência
</t>
  </si>
  <si>
    <t xml:space="preserve">Suspender acesso da agência e acionar plano de resposta a incidentes de dados
</t>
  </si>
  <si>
    <t xml:space="preserve">Resultado de auditorias na agência. Nível de anonimização dos dados compartilhados. Conformidade contratual.
</t>
  </si>
  <si>
    <t>R 026</t>
  </si>
  <si>
    <t>Operação com conceito de estoque zero ocasionando ruptura de estoque e incapacidade de atender demanda em picos sazonais (Black Friday, Natal), gerando perda de vendas</t>
  </si>
  <si>
    <t>Ruptura de estoque em períodos de alta demanda</t>
  </si>
  <si>
    <t xml:space="preserve">Risco Operacional
</t>
  </si>
  <si>
    <t>Perda de vendas em períodos de alta demanda, insatisfação de clientes, aumento de cancelamentos, impacto no faturamento e na meta de crescimento de 26% em 5 anos.</t>
  </si>
  <si>
    <t>Planejamento de demanda com IA/ML, Acordos com fornecedores para reposição rápida, Estoque de segurança para itens de alta rotação, Monitoramento de níveis de estoque em tempo real.</t>
  </si>
  <si>
    <t xml:space="preserve">Diretor de Operações
</t>
  </si>
  <si>
    <t>Taxa de ruptura de estoque (%); Tempo médio de reposição; Nível de estoque de segurança por categoria</t>
  </si>
  <si>
    <t>Ativar fornecedores alternativos e aumentar estoque de segurança temporariamente</t>
  </si>
  <si>
    <t xml:space="preserve">Gerente de Logística
</t>
  </si>
  <si>
    <t>7</t>
  </si>
  <si>
    <t xml:space="preserve">Taxa de atendimento de pedidos. Tempo de reposição. Perda de vendas por ruptura.
</t>
  </si>
  <si>
    <t>R 027</t>
  </si>
  <si>
    <t>Fraudes em transações de e-commerce por clientes mal-intencionados ocasionando chargebacks, perdas financeiras diretas e aumento de custos operacionais com disputas</t>
  </si>
  <si>
    <t>Fraude em transações de e-commerce</t>
  </si>
  <si>
    <t>Perdas financeiras por chargebacks, aumento de taxas de processamento, possível bloqueio por operadoras de cartão, custos com investigação de fraudes.</t>
  </si>
  <si>
    <t xml:space="preserve">Sistema antifraude com ML/IA, Autenticação 3D Secure, Análise de comportamento de compra, Seguro contra fraudes, Equipe dedicada de prevenção a fraudes.
</t>
  </si>
  <si>
    <t xml:space="preserve">CFO / Diretor de Pagamentos
</t>
  </si>
  <si>
    <t xml:space="preserve">Taxa de chargeback (%); Volume financeiro de fraudes detectadas; Taxa de falsos positivos do antifraude
</t>
  </si>
  <si>
    <t xml:space="preserve">Ativar regras restritivas de antifraude e suspender meios de pagamento comprometidos
</t>
  </si>
  <si>
    <t xml:space="preserve">Gerente de Pagamentos
</t>
  </si>
  <si>
    <t xml:space="preserve">Semanalmente
</t>
  </si>
  <si>
    <t xml:space="preserve">Taxa de chargeback vs. benchmark do setor. Precisão do sistema antifraude. Volume de fraudes evitadas.
</t>
  </si>
  <si>
    <t>Tabela de Impacto</t>
  </si>
  <si>
    <t>Tabela de Probabilidade</t>
  </si>
  <si>
    <t>Nível</t>
  </si>
  <si>
    <t>Rótulo</t>
  </si>
  <si>
    <t>Financeiro</t>
  </si>
  <si>
    <t>Imagem e Reputação</t>
  </si>
  <si>
    <t>Operacional</t>
  </si>
  <si>
    <t>Legal e Compliance</t>
  </si>
  <si>
    <t>Ambientais</t>
  </si>
  <si>
    <t>Socioambientais</t>
  </si>
  <si>
    <t>Classificação</t>
  </si>
  <si>
    <t>Chance de Ocorrência</t>
  </si>
  <si>
    <t>Vulnerabilidade</t>
  </si>
  <si>
    <t>Muito Alto</t>
  </si>
  <si>
    <t>Acima de 50% do faturamento</t>
  </si>
  <si>
    <t>Dano catastrófico à imagem e reputação da organização, exigindo gestão de crises em larga escala e atenção da mídia global.</t>
  </si>
  <si>
    <t>Interrupção total dos processos críticos por período indeterminado, comprometendo mais de 50% dos RTOs.</t>
  </si>
  <si>
    <t>Suspensão total de atividades por determinação regulatória, sanções graves e penalizações significativas.</t>
  </si>
  <si>
    <t>Desastre ambiental severo, com impactos irreversíveis e contaminação em larga escala.</t>
  </si>
  <si>
    <t>Evento com impacto humano severo, atingindo áreas habitadas em um raio superior a 100 km, com perda de vidas humanas e necessidade de assistência humanitária.</t>
  </si>
  <si>
    <t>Muito Alta</t>
  </si>
  <si>
    <t>Praticamente certo de ocorrer no cenário atual.</t>
  </si>
  <si>
    <t>Nenhum controle ou mitigação existente, deixando o evento altamente provável.</t>
  </si>
  <si>
    <t>Alto</t>
  </si>
  <si>
    <t>De 30,01% a 50% do faturamento</t>
  </si>
  <si>
    <t>Dano grave à imagem corporativa e/ou executivos, com ampla repercussão e exigência de medidas corretivas imediatas.</t>
  </si>
  <si>
    <t>Interrupção total dos processos críticos por período superior ao tolerável em 20% dos principais RTOs.</t>
  </si>
  <si>
    <t>Sanções e penalidades regulatórias severas, com risco de paralisação temporária de operações.</t>
  </si>
  <si>
    <t>Incidente ambiental grave, causando danos significativos e possíveis restrições operacionais.</t>
  </si>
  <si>
    <t>Evento crítico afetando comunidades em um raio de até 50 km, com risco de perda de vidas e danos substanciais.</t>
  </si>
  <si>
    <t>Alta</t>
  </si>
  <si>
    <t>Alta probabilidade de ocorrer com base nas condições atuais.</t>
  </si>
  <si>
    <t>Controles existem, mas são insuficientes ou pouco eficazes.</t>
  </si>
  <si>
    <t>Médio</t>
  </si>
  <si>
    <t>De 10,01% a 30% do faturamento</t>
  </si>
  <si>
    <t>Dano significativo à reputação da empresa, afetando stakeholders, mas com possibilidade de recuperação com ações estratégicas.</t>
  </si>
  <si>
    <t>Perda de eficiência operacional e capacidade gerencial, com impactos no cumprimento de metas estratégicas.</t>
  </si>
  <si>
    <t>Multas financeiras e impactos regulatórios de médio porte, com possibilidade de restrições futuras.</t>
  </si>
  <si>
    <t>Danos ambientais moderados, exigindo medidas de mitigação, mas sem impacto irreversível.</t>
  </si>
  <si>
    <t>Impacto em áreas habitadas de pequena escala, com transtornos sociais significativos, mas sem vítimas fatais.</t>
  </si>
  <si>
    <t>Média</t>
  </si>
  <si>
    <t>Pode ocorrer a qualquer momento, dependendo das circunstâncias.</t>
  </si>
  <si>
    <t>Controles implementados, mas podem ser ineficazes em algumas situações.</t>
  </si>
  <si>
    <t>Baixo</t>
  </si>
  <si>
    <t>De 5,01% a 10% do faturamento</t>
  </si>
  <si>
    <t>Impacto reputacional moderado, com preocupação restrita a clientes e parceiros diretos.</t>
  </si>
  <si>
    <t>Atrasos e degradação de desempenho operacional, sem afetar criticamente a entrega de produtos ou serviços.</t>
  </si>
  <si>
    <t>Advertências, multas leves ou exigência de ajustes regulatórios sem impacto significativo.</t>
  </si>
  <si>
    <t>Impacto ambiental pontual, com necessidade de ações corretivas de baixo custo.</t>
  </si>
  <si>
    <t>Impacto restrito a um local específico, afetando população diretamente envolvida.</t>
  </si>
  <si>
    <t>Baixa</t>
  </si>
  <si>
    <t>Baixa probabilidade de ocorrência; evento possível, mas improvável.</t>
  </si>
  <si>
    <t>Controles estabelecidos e confiáveis, porém com pequena chance de falha.</t>
  </si>
  <si>
    <t>Muito Baixo</t>
  </si>
  <si>
    <t>Até 5% do faturamento</t>
  </si>
  <si>
    <t>Impacto reputacional mínimo, perceptível apenas internamente ou em nichos específicos.</t>
  </si>
  <si>
    <t>Pequena redução na eficiência operacional, sem impacto perceptível nos serviços essenciais.</t>
  </si>
  <si>
    <t>Atenção regulatória mínima, sem necessidade de medidas corretivas urgentes.</t>
  </si>
  <si>
    <t>Impacto ambiental mínimo, sem necessidade de ações corretivas relevantes.</t>
  </si>
  <si>
    <t>Impacto social e ambiental localizado, sem efeitos significativos na comunidade.</t>
  </si>
  <si>
    <t>Muito Baixa</t>
  </si>
  <si>
    <t>Extremamente improvável; não há evidências de que possa ocorrer.</t>
  </si>
  <si>
    <t>Controles robustos e eficazes, monitorados regularmente.</t>
  </si>
  <si>
    <t>Tabela de Prioridade</t>
  </si>
  <si>
    <t>Gravidade (G)</t>
  </si>
  <si>
    <t>Urgência (U)</t>
  </si>
  <si>
    <t>Tendência (T)</t>
  </si>
  <si>
    <t>Impacto catastrófico, comprometendo a continuidade do negócio.</t>
  </si>
  <si>
    <t>Requer ação imediata para evitar consequências graves.</t>
  </si>
  <si>
    <t>O problema crescerá exponencialmente, tornando-se incontrolável.</t>
  </si>
  <si>
    <t>Impacto grave, exigindo medidas urgentes para evitar danos sérios.</t>
  </si>
  <si>
    <t>Precisa ser resolvido o mais rápido possível.</t>
  </si>
  <si>
    <t>O problema se agravará rapidamente se não for tratado.</t>
  </si>
  <si>
    <t>Impacto moderado, causando prejuízos operacionais.</t>
  </si>
  <si>
    <t>Deve ser resolvido em alguns dias para evitar problemas.</t>
  </si>
  <si>
    <t>O problema tende a crescer progressivamente.</t>
  </si>
  <si>
    <t>Impacto pequeno, facilmente reversível.</t>
  </si>
  <si>
    <t>Pode esperar algumas semanas sem impactos críticos.</t>
  </si>
  <si>
    <t>O problema pode piorar, mas lentamente.</t>
  </si>
  <si>
    <t>Impacto insignificante, sem efeitos relevantes.</t>
  </si>
  <si>
    <t>Pode ser resolvido a longo prazo, sem pressa.</t>
  </si>
  <si>
    <t>O problema não piora com o tempo.</t>
  </si>
  <si>
    <r>
      <rPr>
        <sz val="10"/>
        <color rgb="FF000000"/>
        <rFont val="Helvetica Neue"/>
      </rPr>
      <t xml:space="preserve">A Gravidade mede </t>
    </r>
    <r>
      <rPr>
        <sz val="10"/>
        <color rgb="FF000000"/>
        <rFont val="Helvetica Neue"/>
      </rPr>
      <t>o quanto o problema ou risco pode impactar a organização caso ocorra. Quanto maior o impacto, maior a pontuação.</t>
    </r>
  </si>
  <si>
    <t>A Urgência avalia o tempo disponível para agir antes que o problema cause danos significativos. Quanto menor o tempo disponível, maior a pontuação.</t>
  </si>
  <si>
    <t>A Tendência avalia se o risco ou problema pode piorar ao longo do tempo caso não seja tratado. Quanto maior a chance de crescimento, maior a pontuação.</t>
  </si>
  <si>
    <t>GOVERNANÇA CORPORATIVA</t>
  </si>
  <si>
    <t>ISO 38500 + IBGC</t>
  </si>
  <si>
    <t>Falta de transparencia ocasionada por falta de maturidade em GOVCORP</t>
  </si>
  <si>
    <t>Falta de credibilidade do mercado</t>
  </si>
  <si>
    <t>Perda de confiança de acionistas e investidores</t>
  </si>
  <si>
    <t>Perda de confiança de clientes</t>
  </si>
  <si>
    <t>Interrupção de negócio por crimes relacionados a corrupção ou contravenção</t>
  </si>
  <si>
    <t>Alto executivo envolvido com corrupção ocasionando impacto de imagem a empresa</t>
  </si>
  <si>
    <t>Incidentes comprometendo a capacidade de gerenciamento, controle e qualidade de produtos e serviços, decorrente da falta de Diretrizes, Regras e Procedimentos para minimizar e garantir segurança global da organização</t>
  </si>
  <si>
    <t>CONTINUIDADE DE NEGÓCIOS</t>
  </si>
  <si>
    <t>ISO 22301 + DRII + BCI</t>
  </si>
  <si>
    <t>Falta de Capacidade de resposta a situações de crise ou desastre ocasionando impactos de imagem</t>
  </si>
  <si>
    <t xml:space="preserve">Perdas financeiras decorrentes de paralisações prolongadas </t>
  </si>
  <si>
    <t>Desastres naturais por tempo indeterminado com vitimas fatais</t>
  </si>
  <si>
    <t>Desastres sem vitimas fatais</t>
  </si>
  <si>
    <t>Interrupção das atividades criticas</t>
  </si>
  <si>
    <t>Incapacidade de operar e atender clientes</t>
  </si>
  <si>
    <t>Interrupção de parceiros essenciais na cadeia de suprimentos</t>
  </si>
  <si>
    <t>SEGURANÇA DA INFORMAÇÃO E CYBER</t>
  </si>
  <si>
    <t>ISO 27001, 27002, 27005, 27032</t>
  </si>
  <si>
    <t>Vazamento de informações causando impactos graves a reputação</t>
  </si>
  <si>
    <t>Perda total de Data Center</t>
  </si>
  <si>
    <t>Interrupção de atividades devido a incidente grave de cyber segurança</t>
  </si>
  <si>
    <t>Invasão causando perdas em locais de TI</t>
  </si>
  <si>
    <t>Warm, códigos maliciosos ou outras ameaças digitais causando perdas e comprometimento de Dados e informações de clientes</t>
  </si>
  <si>
    <t>Furto ou roubo de informações por equipe interna de TI e/ou parceiros</t>
  </si>
  <si>
    <t>Interrupção de parceiros em TI, causando interrupção de negócios por problemas de cyber segurança</t>
  </si>
  <si>
    <t>Greves e ou distúrbios civis ocasionando interrupção das atividades criticas</t>
  </si>
  <si>
    <t>SEGURANÇA, SAÚDE E MEIO AMBIENTE</t>
  </si>
  <si>
    <t>ISO 45000, OHSAS 18001, ISO 14001</t>
  </si>
  <si>
    <t>Catastrofe ambiental</t>
  </si>
  <si>
    <t>Roubo ou furto de PRODUTOS decorrente de falhas na segurança perimetral</t>
  </si>
  <si>
    <t>Invasão devido a falta de segurança física</t>
  </si>
  <si>
    <t>Incidente ambiental causando perdas, multas ou sanções</t>
  </si>
  <si>
    <t xml:space="preserve">Contaminação de locais e ou pessoal </t>
  </si>
  <si>
    <t>Perda de vidas devido a incidentes de segurança</t>
  </si>
  <si>
    <t>Acidentes de trabalho</t>
  </si>
  <si>
    <t>Processos decorrentes de falta de segurança no trabalho e/ou problemas de ergonomia e prevenção a acidentes</t>
  </si>
  <si>
    <t>Enchente causando grave impacto</t>
  </si>
  <si>
    <t>Inundações causando interrupções parciais</t>
  </si>
  <si>
    <t>RESPONSABILIDADE SOCIAL CORPORATIVA</t>
  </si>
  <si>
    <t>ISO 26001</t>
  </si>
  <si>
    <t>Trabalho infantil denunciado afetando a imagem e operação da organização</t>
  </si>
  <si>
    <t>Trabalho infantil denunciado  em FORNECEDOR (Cadeia de Suprimentos) afetando a imagem e operação da organização</t>
  </si>
  <si>
    <t>Denuncia de não cumprimento de leis e regulamentos regionais afetando a população</t>
  </si>
  <si>
    <t>Não cumprimento de leis e regulamentos vigentes relacionados a pessoal</t>
  </si>
  <si>
    <t>GESTAO DE RISCOS</t>
  </si>
  <si>
    <t>ISO 31000</t>
  </si>
  <si>
    <t>Processos trabalhistas decorrentes de riscos operacionais</t>
  </si>
  <si>
    <t>Riscos Estratégicos não gerenciados por falta de estrutura de GERISCOS</t>
  </si>
  <si>
    <t xml:space="preserve">Problemas e falhas recorrentes de TI devido a falta de capacidade de gerenciamento de serviços (ISO 20.000) </t>
  </si>
  <si>
    <t xml:space="preserve">Problemas e falhas recorrentes em produtos e serviços, devido a falta de capacidade de gerenciamento de qualidade (ISO 9.000) </t>
  </si>
  <si>
    <t>Problemas recorrentes em fornecedores por falta de medição de riscos em fornecedores</t>
  </si>
  <si>
    <t>Lista de Tipos de Ameaças</t>
  </si>
  <si>
    <t>1. Ameaças Naturais</t>
  </si>
  <si>
    <t>Terremotos</t>
  </si>
  <si>
    <t>Novos concorrentes, mudanças nos hábitos dos consumidores, obsolescência de produtos.</t>
  </si>
  <si>
    <t>SIM - Falha na execução da estratégia corporativa – Decisões estratégicas mal planejadas podem levar a desperdício de recursos e perda de competitividade.</t>
  </si>
  <si>
    <t>Furacões e tempestades</t>
  </si>
  <si>
    <t>SIM - Mudanças abruptas no mercado – Avanços tecnológicos ou novas regulamentações podem tornar um modelo de negócios obsoleto.</t>
  </si>
  <si>
    <t>Enchentes e secas</t>
  </si>
  <si>
    <t>SIM - Falta de inovação – Empresas que não investem em pesquisa e desenvolvimento podem ser ultrapassadas por concorrentes mais ágeis.</t>
  </si>
  <si>
    <t>Incêndios florestais</t>
  </si>
  <si>
    <t>Mudanças em legislações, sanções governamentais, instabilidade política, crise economica, crise energetica.</t>
  </si>
  <si>
    <t>SIM - Fusões e aquisições mal executadas – Integrações mal planejadas podem gerar conflitos culturais e perdas financeiras.</t>
  </si>
  <si>
    <t>Pandemias</t>
  </si>
  <si>
    <t>Evolução tecnológica rápida, ameaças cibernéticas como ataques de ransomware.</t>
  </si>
  <si>
    <t>SIM - Riscos de reputação e marca – Crises públicas podem comprometer a confiança de clientes e investidores.</t>
  </si>
  <si>
    <t>2. Ameaças Tecnológicas</t>
  </si>
  <si>
    <t>Fonte Externa: Ciberataques (malware, ransomware, phishing, DDoS)</t>
  </si>
  <si>
    <t>SIM - Dependência excessiva de um único fornecedor ou cliente – Pode expor a empresa a riscos financeiros e operacionais.</t>
  </si>
  <si>
    <t>Fonte Interna: Falha de tecnologia, obsolescência, erros de configuração</t>
  </si>
  <si>
    <t>SIM - Riscos de continuidade de negócios por falta da GCN ou Estratégia de CN – Expõe a empresa a uma parte importante da gestão de riscos, impossibilitando a identificação para a prevenção, mitigação, resposta e recuperação minimizando perdas e impactos.</t>
  </si>
  <si>
    <t>3. Ameaças Humanas</t>
  </si>
  <si>
    <t>Intencionais: Cibercriminosos, terrorismo, espionagem, fraudes, sabotagem</t>
  </si>
  <si>
    <t>Outros riscos estretegicos</t>
  </si>
  <si>
    <t>Não intencionais: Erros humanos, negligência, descuidos operacionais</t>
  </si>
  <si>
    <t>NÃO ESTRATÉGICO</t>
  </si>
  <si>
    <t>4. Ameaças Físicas e Estruturais</t>
  </si>
  <si>
    <t>Incêndios</t>
  </si>
  <si>
    <t>Risco de Cadeia de Suprimentos</t>
  </si>
  <si>
    <t>Colapso de infraestrutura</t>
  </si>
  <si>
    <t>FI - Tecnologicas internas</t>
  </si>
  <si>
    <t>Explosões industriais</t>
  </si>
  <si>
    <t>Roubo e vandalismo</t>
  </si>
  <si>
    <t>5. Ameaças Político-Econômicas</t>
  </si>
  <si>
    <t>Instabilidade política</t>
  </si>
  <si>
    <t>Mudanças fiscais e regulatórias</t>
  </si>
  <si>
    <t>Crises financeiras e cambiais</t>
  </si>
  <si>
    <t>Sanções e embargos comerciais</t>
  </si>
  <si>
    <t>6. Ameaças Ambientais</t>
  </si>
  <si>
    <t>Mudanças climáticas extremas</t>
  </si>
  <si>
    <t>Escassez de recursos naturais</t>
  </si>
  <si>
    <t>Poluição e degradação ambiental</t>
  </si>
  <si>
    <t>Desastres ecológicos</t>
  </si>
  <si>
    <t>7. Ameaças Regulamentares e Jurídicas</t>
  </si>
  <si>
    <t>Novas legislações (LGPD, GDPR)</t>
  </si>
  <si>
    <t>Processos judiciais</t>
  </si>
  <si>
    <t>Penalidades e sanções regulatórias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</si>
</sst>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Helvetica Neue"/>
      <scheme val="minor"/>
    </font>
    <font>
      <sz val="10"/>
      <color rgb="FF000000"/>
      <name val="Arial"/>
      <family val="2"/>
    </font>
    <font>
      <sz val="10"/>
      <name val="Helvetica Neue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rgb="FF000000"/>
      <name val="Helvetica Neue"/>
    </font>
    <font>
      <sz val="10"/>
      <color theme="0"/>
      <name val="Helvetica Neue"/>
    </font>
    <font>
      <b/>
      <sz val="10"/>
      <color theme="0"/>
      <name val="Helvetica Neue"/>
    </font>
    <font>
      <sz val="10"/>
      <color theme="0"/>
      <name val="Arial"/>
      <family val="2"/>
    </font>
    <font>
      <b/>
      <sz val="10"/>
      <color rgb="FF000000"/>
      <name val="Helvetica Neue"/>
    </font>
    <font>
      <sz val="12"/>
      <color rgb="FF000000"/>
      <name val="Helvetica Neue"/>
    </font>
    <font>
      <b/>
      <sz val="12"/>
      <color rgb="FF000000"/>
      <name val="Helvetica Neue"/>
    </font>
    <font>
      <b/>
      <sz val="14"/>
      <color rgb="FF000000"/>
      <name val="Helvetica Neue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8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F1C232"/>
        <bgColor rgb="FFF1C232"/>
      </patternFill>
    </fill>
    <fill>
      <patternFill patternType="solid">
        <fgColor rgb="FF595959"/>
        <bgColor rgb="FF595959"/>
      </patternFill>
    </fill>
    <fill>
      <patternFill patternType="solid">
        <fgColor rgb="FF6A6A6A"/>
        <bgColor rgb="FF6A6A6A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DBC105"/>
        <bgColor rgb="FFDBC105"/>
      </patternFill>
    </fill>
    <fill>
      <patternFill patternType="solid">
        <fgColor rgb="FF00B0F0"/>
        <bgColor rgb="FF00B0F0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 style="thin">
        <color rgb="FF3F3F3F"/>
      </left>
      <right/>
      <top/>
      <bottom style="thin">
        <color rgb="FFA5A5A5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9" fillId="7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0" fillId="0" borderId="0" xfId="0" applyFont="1" applyAlignment="1">
      <alignment horizontal="left" vertical="top"/>
    </xf>
    <xf numFmtId="49" fontId="16" fillId="12" borderId="1" xfId="0" applyNumberFormat="1" applyFont="1" applyFill="1" applyBorder="1" applyAlignment="1">
      <alignment vertical="top" wrapText="1"/>
    </xf>
    <xf numFmtId="49" fontId="16" fillId="12" borderId="5" xfId="0" applyNumberFormat="1" applyFont="1" applyFill="1" applyBorder="1" applyAlignment="1">
      <alignment vertical="top" wrapText="1"/>
    </xf>
    <xf numFmtId="49" fontId="14" fillId="13" borderId="1" xfId="0" applyNumberFormat="1" applyFont="1" applyFill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4" fillId="13" borderId="1" xfId="0" applyFont="1" applyFill="1" applyBorder="1" applyAlignment="1">
      <alignment vertical="top" wrapText="1"/>
    </xf>
    <xf numFmtId="49" fontId="10" fillId="0" borderId="1" xfId="0" applyNumberFormat="1" applyFont="1" applyBorder="1" applyAlignment="1">
      <alignment vertical="top" wrapText="1"/>
    </xf>
    <xf numFmtId="0" fontId="14" fillId="13" borderId="6" xfId="0" applyFont="1" applyFill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center" vertical="center" wrapText="1"/>
    </xf>
    <xf numFmtId="0" fontId="0" fillId="14" borderId="0" xfId="0" applyFill="1" applyAlignment="1">
      <alignment vertical="top" wrapText="1"/>
    </xf>
    <xf numFmtId="49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5" fillId="14" borderId="1" xfId="0" applyFont="1" applyFill="1" applyBorder="1" applyAlignment="1">
      <alignment horizontal="center" vertical="center" wrapText="1"/>
    </xf>
    <xf numFmtId="1" fontId="1" fillId="1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zoomScale="90" zoomScaleNormal="90" workbookViewId="0">
      <pane ySplit="4" topLeftCell="A12" activePane="bottomLeft" state="frozen"/>
      <selection pane="bottomLeft" activeCell="A14" sqref="A14:XFD14"/>
    </sheetView>
  </sheetViews>
  <sheetFormatPr defaultColWidth="14.42578125" defaultRowHeight="12.75"/>
  <cols>
    <col min="1" max="1" width="12.7109375" customWidth="1"/>
    <col min="2" max="2" width="42.7109375" customWidth="1"/>
    <col min="3" max="3" width="16.28515625" customWidth="1"/>
    <col min="4" max="4" width="22.28515625" customWidth="1"/>
    <col min="5" max="5" width="26.140625" customWidth="1"/>
    <col min="6" max="6" width="13.28515625" customWidth="1"/>
    <col min="7" max="7" width="14.28515625" customWidth="1"/>
    <col min="8" max="8" width="13.7109375" customWidth="1"/>
    <col min="9" max="9" width="8.42578125" customWidth="1"/>
    <col min="10" max="10" width="8.5703125" customWidth="1"/>
    <col min="11" max="11" width="17.5703125" customWidth="1"/>
    <col min="12" max="12" width="11.42578125" customWidth="1"/>
    <col min="13" max="13" width="9.28515625" customWidth="1"/>
    <col min="14" max="14" width="10.42578125" customWidth="1"/>
    <col min="15" max="15" width="6.42578125" customWidth="1"/>
    <col min="16" max="16" width="43.42578125" customWidth="1"/>
    <col min="17" max="17" width="26.7109375" customWidth="1"/>
    <col min="18" max="18" width="19" customWidth="1"/>
    <col min="19" max="19" width="12" customWidth="1"/>
    <col min="20" max="20" width="23.85546875" customWidth="1"/>
    <col min="21" max="21" width="15" customWidth="1"/>
    <col min="22" max="22" width="20.140625" customWidth="1"/>
    <col min="23" max="23" width="12.5703125" customWidth="1"/>
    <col min="24" max="24" width="12.140625" customWidth="1"/>
    <col min="25" max="25" width="14.85546875" customWidth="1"/>
    <col min="26" max="26" width="74.140625" customWidth="1"/>
  </cols>
  <sheetData>
    <row r="1" spans="1:26">
      <c r="A1" s="1"/>
      <c r="B1" s="53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5"/>
      <c r="W1" s="1"/>
      <c r="X1" s="1"/>
      <c r="Y1" s="1"/>
      <c r="Z1" s="1"/>
    </row>
    <row r="2" spans="1:26">
      <c r="A2" s="2" t="s">
        <v>1</v>
      </c>
      <c r="B2" s="2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6">
      <c r="A3" s="4" t="s">
        <v>3</v>
      </c>
      <c r="B3" s="4" t="s">
        <v>4</v>
      </c>
      <c r="C3" s="4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4" t="s">
        <v>10</v>
      </c>
      <c r="I3" s="4"/>
      <c r="J3" s="4"/>
      <c r="K3" s="5" t="s">
        <v>11</v>
      </c>
      <c r="L3" s="5" t="s">
        <v>12</v>
      </c>
      <c r="M3" s="5"/>
      <c r="N3" s="5"/>
      <c r="O3" s="5"/>
      <c r="P3" s="5" t="s">
        <v>13</v>
      </c>
      <c r="Q3" s="5" t="s">
        <v>14</v>
      </c>
      <c r="R3" s="5" t="s">
        <v>15</v>
      </c>
      <c r="S3" s="5"/>
      <c r="T3" s="5" t="s">
        <v>16</v>
      </c>
      <c r="U3" s="5"/>
      <c r="V3" s="5"/>
      <c r="W3" s="5"/>
      <c r="X3" s="5" t="s">
        <v>17</v>
      </c>
      <c r="Y3" s="4"/>
      <c r="Z3" s="5"/>
    </row>
    <row r="4" spans="1:26" ht="36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/>
      <c r="H4" s="7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  <c r="N4" s="8" t="s">
        <v>30</v>
      </c>
      <c r="O4" s="8" t="s">
        <v>31</v>
      </c>
      <c r="P4" s="6" t="s">
        <v>32</v>
      </c>
      <c r="Q4" s="6" t="s">
        <v>33</v>
      </c>
      <c r="R4" s="6" t="s">
        <v>34</v>
      </c>
      <c r="S4" s="6" t="s">
        <v>35</v>
      </c>
      <c r="T4" s="6" t="s">
        <v>36</v>
      </c>
      <c r="U4" s="6" t="s">
        <v>37</v>
      </c>
      <c r="V4" s="6" t="s">
        <v>38</v>
      </c>
      <c r="W4" s="6" t="s">
        <v>39</v>
      </c>
      <c r="X4" s="6" t="s">
        <v>40</v>
      </c>
      <c r="Y4" s="6" t="s">
        <v>41</v>
      </c>
      <c r="Z4" s="6" t="s">
        <v>42</v>
      </c>
    </row>
    <row r="5" spans="1:26" ht="409.6">
      <c r="A5" s="9" t="s">
        <v>43</v>
      </c>
      <c r="B5" s="10" t="s">
        <v>44</v>
      </c>
      <c r="C5" s="10" t="s">
        <v>45</v>
      </c>
      <c r="D5" s="10" t="s">
        <v>46</v>
      </c>
      <c r="E5" s="10" t="s">
        <v>47</v>
      </c>
      <c r="F5" s="10" t="s">
        <v>48</v>
      </c>
      <c r="G5" s="10" t="s">
        <v>49</v>
      </c>
      <c r="H5" s="9">
        <v>1</v>
      </c>
      <c r="I5" s="9">
        <v>4</v>
      </c>
      <c r="J5" s="11">
        <f t="shared" ref="J5:J27" si="0">I5*H5</f>
        <v>4</v>
      </c>
      <c r="K5" s="10" t="s">
        <v>50</v>
      </c>
      <c r="L5" s="10">
        <v>2</v>
      </c>
      <c r="M5" s="10">
        <v>3</v>
      </c>
      <c r="N5" s="10">
        <v>3</v>
      </c>
      <c r="O5" s="12">
        <f t="shared" ref="O5:O27" si="1">L5*M5*N5</f>
        <v>18</v>
      </c>
      <c r="P5" s="10" t="s">
        <v>51</v>
      </c>
      <c r="Q5" s="10" t="s">
        <v>52</v>
      </c>
      <c r="R5" s="10" t="s">
        <v>53</v>
      </c>
      <c r="S5" s="10" t="s">
        <v>54</v>
      </c>
      <c r="T5" s="10" t="s">
        <v>55</v>
      </c>
      <c r="U5" s="10" t="s">
        <v>56</v>
      </c>
      <c r="V5" s="10" t="s">
        <v>53</v>
      </c>
      <c r="W5" s="10" t="s">
        <v>57</v>
      </c>
      <c r="X5" s="12" t="s">
        <v>58</v>
      </c>
      <c r="Y5" s="13">
        <f>inerente-residual</f>
        <v>1</v>
      </c>
      <c r="Z5" s="10" t="s">
        <v>59</v>
      </c>
    </row>
    <row r="6" spans="1:26" ht="374.25">
      <c r="A6" s="9" t="s">
        <v>60</v>
      </c>
      <c r="B6" s="10" t="s">
        <v>61</v>
      </c>
      <c r="C6" s="11" t="s">
        <v>62</v>
      </c>
      <c r="D6" s="10" t="s">
        <v>63</v>
      </c>
      <c r="E6" s="10" t="s">
        <v>64</v>
      </c>
      <c r="F6" s="10" t="s">
        <v>48</v>
      </c>
      <c r="G6" s="10" t="s">
        <v>65</v>
      </c>
      <c r="H6" s="9">
        <v>2</v>
      </c>
      <c r="I6" s="9">
        <v>4</v>
      </c>
      <c r="J6" s="9">
        <f t="shared" si="0"/>
        <v>8</v>
      </c>
      <c r="K6" s="10" t="s">
        <v>66</v>
      </c>
      <c r="L6" s="10">
        <v>4</v>
      </c>
      <c r="M6" s="10">
        <v>3</v>
      </c>
      <c r="N6" s="10">
        <v>3</v>
      </c>
      <c r="O6" s="10">
        <f t="shared" si="1"/>
        <v>36</v>
      </c>
      <c r="P6" s="10" t="s">
        <v>67</v>
      </c>
      <c r="Q6" s="10" t="s">
        <v>68</v>
      </c>
      <c r="R6" s="10" t="s">
        <v>69</v>
      </c>
      <c r="S6" s="10"/>
      <c r="T6" s="9" t="s">
        <v>70</v>
      </c>
      <c r="U6" s="10"/>
      <c r="V6" s="10"/>
      <c r="W6" s="10"/>
      <c r="X6" s="12"/>
      <c r="Y6" s="13"/>
      <c r="Z6" s="10"/>
    </row>
    <row r="7" spans="1:26" ht="166.5">
      <c r="A7" s="3" t="s">
        <v>71</v>
      </c>
      <c r="B7" s="3" t="s">
        <v>72</v>
      </c>
      <c r="C7" s="45" t="s">
        <v>73</v>
      </c>
      <c r="D7" s="3" t="s">
        <v>74</v>
      </c>
      <c r="E7" s="3" t="s">
        <v>75</v>
      </c>
      <c r="F7" s="14" t="s">
        <v>48</v>
      </c>
      <c r="G7" s="14" t="s">
        <v>76</v>
      </c>
      <c r="H7" s="3">
        <v>2</v>
      </c>
      <c r="I7" s="3">
        <v>5</v>
      </c>
      <c r="J7" s="3">
        <f t="shared" si="0"/>
        <v>10</v>
      </c>
      <c r="K7" s="14" t="s">
        <v>77</v>
      </c>
      <c r="L7" s="14" t="s">
        <v>78</v>
      </c>
      <c r="M7" s="14" t="s">
        <v>79</v>
      </c>
      <c r="N7" s="14" t="s">
        <v>58</v>
      </c>
      <c r="O7" s="14">
        <f t="shared" si="1"/>
        <v>60</v>
      </c>
      <c r="P7" s="46" t="s">
        <v>80</v>
      </c>
      <c r="Q7" s="3" t="s">
        <v>81</v>
      </c>
      <c r="R7" s="3" t="s">
        <v>82</v>
      </c>
      <c r="S7" s="3" t="s">
        <v>83</v>
      </c>
      <c r="T7" s="3" t="s">
        <v>84</v>
      </c>
      <c r="U7" s="3" t="s">
        <v>85</v>
      </c>
      <c r="V7" s="3" t="s">
        <v>86</v>
      </c>
      <c r="W7" s="3" t="s">
        <v>87</v>
      </c>
      <c r="X7" s="51" t="s">
        <v>79</v>
      </c>
      <c r="Y7" s="16">
        <f>J7-X7</f>
        <v>5</v>
      </c>
      <c r="Z7" s="3" t="s">
        <v>88</v>
      </c>
    </row>
    <row r="8" spans="1:26" ht="130.5">
      <c r="A8" s="3" t="s">
        <v>89</v>
      </c>
      <c r="B8" s="3" t="s">
        <v>90</v>
      </c>
      <c r="C8" s="45" t="s">
        <v>91</v>
      </c>
      <c r="D8" s="3" t="s">
        <v>92</v>
      </c>
      <c r="E8" s="3" t="s">
        <v>93</v>
      </c>
      <c r="F8" s="14" t="s">
        <v>48</v>
      </c>
      <c r="G8" s="14" t="s">
        <v>94</v>
      </c>
      <c r="H8" s="3">
        <v>3</v>
      </c>
      <c r="I8" s="3">
        <v>4</v>
      </c>
      <c r="J8" s="3">
        <f t="shared" si="0"/>
        <v>12</v>
      </c>
      <c r="K8" s="14" t="s">
        <v>95</v>
      </c>
      <c r="L8" s="15" t="s">
        <v>78</v>
      </c>
      <c r="M8" s="15" t="s">
        <v>78</v>
      </c>
      <c r="N8" s="15" t="s">
        <v>78</v>
      </c>
      <c r="O8" s="14">
        <f t="shared" si="1"/>
        <v>64</v>
      </c>
      <c r="P8" s="3" t="s">
        <v>96</v>
      </c>
      <c r="Q8" s="3" t="s">
        <v>97</v>
      </c>
      <c r="R8" s="3" t="s">
        <v>98</v>
      </c>
      <c r="S8" s="3" t="s">
        <v>99</v>
      </c>
      <c r="T8" s="3" t="s">
        <v>100</v>
      </c>
      <c r="U8" s="3" t="s">
        <v>101</v>
      </c>
      <c r="V8" s="3" t="s">
        <v>102</v>
      </c>
      <c r="W8" s="3" t="s">
        <v>57</v>
      </c>
      <c r="X8" s="51" t="s">
        <v>103</v>
      </c>
      <c r="Y8" s="16">
        <f>J8-X8</f>
        <v>4</v>
      </c>
      <c r="Z8" s="3" t="s">
        <v>104</v>
      </c>
    </row>
    <row r="9" spans="1:26" ht="150" customHeight="1">
      <c r="A9" s="3" t="s">
        <v>105</v>
      </c>
      <c r="B9" s="3" t="s">
        <v>44</v>
      </c>
      <c r="C9" s="45" t="s">
        <v>106</v>
      </c>
      <c r="D9" s="3" t="s">
        <v>107</v>
      </c>
      <c r="E9" s="3" t="s">
        <v>108</v>
      </c>
      <c r="F9" s="14" t="s">
        <v>48</v>
      </c>
      <c r="G9" s="14" t="s">
        <v>94</v>
      </c>
      <c r="H9" s="3">
        <v>4</v>
      </c>
      <c r="I9" s="3">
        <v>5</v>
      </c>
      <c r="J9" s="3">
        <f t="shared" si="0"/>
        <v>20</v>
      </c>
      <c r="K9" s="14" t="s">
        <v>109</v>
      </c>
      <c r="L9" s="15" t="s">
        <v>79</v>
      </c>
      <c r="M9" s="15" t="s">
        <v>78</v>
      </c>
      <c r="N9" s="15" t="s">
        <v>78</v>
      </c>
      <c r="O9" s="14">
        <f t="shared" si="1"/>
        <v>80</v>
      </c>
      <c r="P9" s="3" t="s">
        <v>110</v>
      </c>
      <c r="Q9" s="3" t="s">
        <v>111</v>
      </c>
      <c r="R9" s="3" t="s">
        <v>112</v>
      </c>
      <c r="S9" s="3" t="s">
        <v>113</v>
      </c>
      <c r="T9" s="3" t="s">
        <v>114</v>
      </c>
      <c r="U9" s="3" t="s">
        <v>115</v>
      </c>
      <c r="V9" s="17" t="s">
        <v>116</v>
      </c>
      <c r="W9" s="17" t="s">
        <v>117</v>
      </c>
      <c r="X9" s="51" t="s">
        <v>118</v>
      </c>
      <c r="Y9" s="16">
        <f>J9-X9</f>
        <v>2</v>
      </c>
      <c r="Z9" s="3" t="s">
        <v>119</v>
      </c>
    </row>
    <row r="10" spans="1:26" ht="214.5">
      <c r="A10" s="3" t="s">
        <v>120</v>
      </c>
      <c r="B10" s="3" t="s">
        <v>121</v>
      </c>
      <c r="C10" s="45" t="s">
        <v>122</v>
      </c>
      <c r="D10" s="3" t="s">
        <v>123</v>
      </c>
      <c r="E10" s="3" t="s">
        <v>124</v>
      </c>
      <c r="F10" s="14" t="s">
        <v>48</v>
      </c>
      <c r="G10" s="14" t="s">
        <v>65</v>
      </c>
      <c r="H10" s="3">
        <v>4</v>
      </c>
      <c r="I10" s="3">
        <v>4</v>
      </c>
      <c r="J10" s="3">
        <f t="shared" si="0"/>
        <v>16</v>
      </c>
      <c r="K10" s="14" t="s">
        <v>125</v>
      </c>
      <c r="L10" s="14" t="s">
        <v>78</v>
      </c>
      <c r="M10" s="14" t="s">
        <v>78</v>
      </c>
      <c r="N10" s="14" t="s">
        <v>78</v>
      </c>
      <c r="O10" s="14">
        <f t="shared" si="1"/>
        <v>64</v>
      </c>
      <c r="P10" s="3" t="s">
        <v>126</v>
      </c>
      <c r="Q10" s="3" t="s">
        <v>127</v>
      </c>
      <c r="R10" s="3" t="s">
        <v>128</v>
      </c>
      <c r="S10" s="3" t="s">
        <v>129</v>
      </c>
      <c r="T10" s="3" t="s">
        <v>130</v>
      </c>
      <c r="U10" s="3" t="s">
        <v>131</v>
      </c>
      <c r="V10" s="3" t="s">
        <v>132</v>
      </c>
      <c r="W10" s="3" t="s">
        <v>133</v>
      </c>
      <c r="X10" s="51" t="s">
        <v>134</v>
      </c>
      <c r="Y10" s="16">
        <f>J10-X10</f>
        <v>2</v>
      </c>
      <c r="Z10" s="3" t="s">
        <v>135</v>
      </c>
    </row>
    <row r="11" spans="1:26" ht="409.6">
      <c r="A11" s="3" t="s">
        <v>136</v>
      </c>
      <c r="B11" s="3" t="s">
        <v>137</v>
      </c>
      <c r="C11" s="45" t="s">
        <v>138</v>
      </c>
      <c r="D11" s="3" t="s">
        <v>139</v>
      </c>
      <c r="E11" s="3" t="s">
        <v>140</v>
      </c>
      <c r="F11" s="14" t="s">
        <v>141</v>
      </c>
      <c r="G11" s="14" t="s">
        <v>142</v>
      </c>
      <c r="H11" s="3">
        <v>4</v>
      </c>
      <c r="I11" s="3">
        <v>5</v>
      </c>
      <c r="J11" s="3">
        <f t="shared" si="0"/>
        <v>20</v>
      </c>
      <c r="K11" s="14" t="s">
        <v>143</v>
      </c>
      <c r="L11" s="14" t="s">
        <v>79</v>
      </c>
      <c r="M11" s="14" t="s">
        <v>79</v>
      </c>
      <c r="N11" s="14" t="s">
        <v>78</v>
      </c>
      <c r="O11" s="14">
        <f t="shared" si="1"/>
        <v>100</v>
      </c>
      <c r="P11" s="3" t="s">
        <v>126</v>
      </c>
      <c r="Q11" s="3" t="s">
        <v>144</v>
      </c>
      <c r="R11" s="3" t="s">
        <v>145</v>
      </c>
      <c r="S11" s="3" t="s">
        <v>146</v>
      </c>
      <c r="T11" s="3" t="s">
        <v>147</v>
      </c>
      <c r="U11" s="3" t="s">
        <v>148</v>
      </c>
      <c r="V11" s="3" t="s">
        <v>149</v>
      </c>
      <c r="W11" s="17" t="s">
        <v>117</v>
      </c>
      <c r="X11" s="51" t="s">
        <v>118</v>
      </c>
      <c r="Y11" s="16">
        <v>2</v>
      </c>
      <c r="Z11" s="3" t="s">
        <v>150</v>
      </c>
    </row>
    <row r="12" spans="1:26" ht="190.5">
      <c r="A12" s="3" t="s">
        <v>151</v>
      </c>
      <c r="B12" s="3" t="s">
        <v>152</v>
      </c>
      <c r="C12" s="45" t="s">
        <v>153</v>
      </c>
      <c r="D12" s="3" t="s">
        <v>154</v>
      </c>
      <c r="E12" s="3" t="s">
        <v>155</v>
      </c>
      <c r="F12" s="14" t="s">
        <v>48</v>
      </c>
      <c r="G12" s="14" t="s">
        <v>156</v>
      </c>
      <c r="H12" s="3">
        <v>3</v>
      </c>
      <c r="I12" s="3">
        <v>4</v>
      </c>
      <c r="J12" s="3">
        <f t="shared" si="0"/>
        <v>12</v>
      </c>
      <c r="K12" s="14" t="s">
        <v>157</v>
      </c>
      <c r="L12" s="14" t="s">
        <v>78</v>
      </c>
      <c r="M12" s="14" t="s">
        <v>58</v>
      </c>
      <c r="N12" s="14" t="s">
        <v>79</v>
      </c>
      <c r="O12" s="14">
        <f t="shared" si="1"/>
        <v>60</v>
      </c>
      <c r="P12" s="3" t="s">
        <v>126</v>
      </c>
      <c r="Q12" s="3" t="s">
        <v>158</v>
      </c>
      <c r="R12" s="3" t="s">
        <v>159</v>
      </c>
      <c r="S12" s="3" t="s">
        <v>160</v>
      </c>
      <c r="T12" s="3" t="s">
        <v>161</v>
      </c>
      <c r="U12" s="3" t="s">
        <v>162</v>
      </c>
      <c r="V12" s="3" t="s">
        <v>163</v>
      </c>
      <c r="W12" s="3" t="s">
        <v>164</v>
      </c>
      <c r="X12" s="12" t="s">
        <v>165</v>
      </c>
      <c r="Y12" s="16">
        <f>J12-X12</f>
        <v>1</v>
      </c>
      <c r="Z12" s="3" t="s">
        <v>166</v>
      </c>
    </row>
    <row r="13" spans="1:26" ht="130.5">
      <c r="A13" s="3" t="s">
        <v>167</v>
      </c>
      <c r="B13" s="3" t="s">
        <v>168</v>
      </c>
      <c r="C13" s="45" t="s">
        <v>169</v>
      </c>
      <c r="D13" s="3" t="s">
        <v>170</v>
      </c>
      <c r="E13" s="3" t="s">
        <v>171</v>
      </c>
      <c r="F13" s="14" t="s">
        <v>48</v>
      </c>
      <c r="G13" s="14" t="s">
        <v>65</v>
      </c>
      <c r="H13" s="3">
        <v>3</v>
      </c>
      <c r="I13" s="3">
        <v>5</v>
      </c>
      <c r="J13" s="3">
        <f t="shared" si="0"/>
        <v>15</v>
      </c>
      <c r="K13" s="14" t="s">
        <v>172</v>
      </c>
      <c r="L13" s="14" t="s">
        <v>78</v>
      </c>
      <c r="M13" s="14" t="s">
        <v>78</v>
      </c>
      <c r="N13" s="14" t="s">
        <v>78</v>
      </c>
      <c r="O13" s="14">
        <f t="shared" si="1"/>
        <v>64</v>
      </c>
      <c r="P13" s="3" t="s">
        <v>173</v>
      </c>
      <c r="Q13" s="3" t="s">
        <v>174</v>
      </c>
      <c r="R13" s="3" t="s">
        <v>175</v>
      </c>
      <c r="S13" s="3" t="s">
        <v>176</v>
      </c>
      <c r="T13" s="3" t="s">
        <v>177</v>
      </c>
      <c r="U13" s="3" t="s">
        <v>178</v>
      </c>
      <c r="V13" s="3" t="s">
        <v>179</v>
      </c>
      <c r="W13" s="3" t="s">
        <v>57</v>
      </c>
      <c r="X13" s="12" t="s">
        <v>180</v>
      </c>
      <c r="Y13" s="16">
        <f>J13-X13</f>
        <v>3</v>
      </c>
      <c r="Z13" s="3" t="s">
        <v>181</v>
      </c>
    </row>
    <row r="14" spans="1:26" s="50" customFormat="1" ht="118.5">
      <c r="A14" s="47" t="s">
        <v>182</v>
      </c>
      <c r="B14" s="47" t="s">
        <v>44</v>
      </c>
      <c r="C14" s="58" t="s">
        <v>183</v>
      </c>
      <c r="D14" s="47" t="s">
        <v>184</v>
      </c>
      <c r="E14" s="47" t="s">
        <v>185</v>
      </c>
      <c r="F14" s="48" t="s">
        <v>48</v>
      </c>
      <c r="G14" s="48" t="s">
        <v>76</v>
      </c>
      <c r="H14" s="47">
        <v>5</v>
      </c>
      <c r="I14" s="47">
        <v>5</v>
      </c>
      <c r="J14" s="47">
        <f t="shared" si="0"/>
        <v>25</v>
      </c>
      <c r="K14" s="48" t="s">
        <v>186</v>
      </c>
      <c r="L14" s="48" t="s">
        <v>79</v>
      </c>
      <c r="M14" s="48" t="s">
        <v>79</v>
      </c>
      <c r="N14" s="48" t="s">
        <v>79</v>
      </c>
      <c r="O14" s="48">
        <f t="shared" si="1"/>
        <v>125</v>
      </c>
      <c r="P14" s="47" t="s">
        <v>187</v>
      </c>
      <c r="Q14" s="47" t="s">
        <v>188</v>
      </c>
      <c r="R14" s="47" t="s">
        <v>189</v>
      </c>
      <c r="S14" s="47" t="s">
        <v>190</v>
      </c>
      <c r="T14" s="47" t="s">
        <v>191</v>
      </c>
      <c r="U14" s="47"/>
      <c r="V14" s="47" t="s">
        <v>192</v>
      </c>
      <c r="W14" s="47" t="s">
        <v>87</v>
      </c>
      <c r="X14" s="49" t="s">
        <v>193</v>
      </c>
      <c r="Y14" s="59">
        <f>J14-X14</f>
        <v>5</v>
      </c>
      <c r="Z14" s="47" t="s">
        <v>194</v>
      </c>
    </row>
    <row r="15" spans="1:26" ht="118.5">
      <c r="A15" s="3" t="s">
        <v>195</v>
      </c>
      <c r="B15" s="3" t="s">
        <v>72</v>
      </c>
      <c r="C15" s="45" t="s">
        <v>196</v>
      </c>
      <c r="D15" s="3" t="s">
        <v>197</v>
      </c>
      <c r="E15" s="3" t="s">
        <v>198</v>
      </c>
      <c r="F15" s="14" t="s">
        <v>48</v>
      </c>
      <c r="G15" s="14" t="s">
        <v>94</v>
      </c>
      <c r="H15" s="3">
        <v>5</v>
      </c>
      <c r="I15" s="3">
        <v>3</v>
      </c>
      <c r="J15" s="3">
        <f t="shared" si="0"/>
        <v>15</v>
      </c>
      <c r="K15" s="14" t="s">
        <v>199</v>
      </c>
      <c r="L15" s="14" t="s">
        <v>58</v>
      </c>
      <c r="M15" s="14" t="s">
        <v>78</v>
      </c>
      <c r="N15" s="14" t="s">
        <v>58</v>
      </c>
      <c r="O15" s="14">
        <f t="shared" si="1"/>
        <v>36</v>
      </c>
      <c r="P15" s="3" t="s">
        <v>200</v>
      </c>
      <c r="Q15" s="3" t="s">
        <v>201</v>
      </c>
      <c r="R15" s="3" t="s">
        <v>202</v>
      </c>
      <c r="S15" s="3" t="s">
        <v>190</v>
      </c>
      <c r="T15" s="3" t="s">
        <v>203</v>
      </c>
      <c r="U15" s="3" t="s">
        <v>204</v>
      </c>
      <c r="V15" s="3" t="s">
        <v>205</v>
      </c>
      <c r="W15" s="3" t="s">
        <v>206</v>
      </c>
      <c r="X15" s="12" t="s">
        <v>180</v>
      </c>
      <c r="Y15" s="16">
        <f>J15-X15</f>
        <v>3</v>
      </c>
      <c r="Z15" s="3" t="s">
        <v>207</v>
      </c>
    </row>
    <row r="16" spans="1:26" ht="107.25">
      <c r="A16" s="3" t="s">
        <v>208</v>
      </c>
      <c r="B16" s="3" t="s">
        <v>137</v>
      </c>
      <c r="C16" s="45" t="s">
        <v>209</v>
      </c>
      <c r="D16" s="3" t="s">
        <v>210</v>
      </c>
      <c r="E16" s="3" t="s">
        <v>211</v>
      </c>
      <c r="F16" s="14" t="s">
        <v>48</v>
      </c>
      <c r="G16" s="14" t="s">
        <v>65</v>
      </c>
      <c r="H16" s="3">
        <v>3</v>
      </c>
      <c r="I16" s="3">
        <v>3</v>
      </c>
      <c r="J16" s="3">
        <f t="shared" si="0"/>
        <v>9</v>
      </c>
      <c r="K16" s="14" t="s">
        <v>212</v>
      </c>
      <c r="L16" s="14" t="s">
        <v>58</v>
      </c>
      <c r="M16" s="14" t="s">
        <v>58</v>
      </c>
      <c r="N16" s="14" t="s">
        <v>78</v>
      </c>
      <c r="O16" s="14">
        <f t="shared" si="1"/>
        <v>36</v>
      </c>
      <c r="P16" s="3" t="s">
        <v>213</v>
      </c>
      <c r="Q16" s="3" t="s">
        <v>214</v>
      </c>
      <c r="R16" s="3" t="s">
        <v>215</v>
      </c>
      <c r="S16" s="3" t="s">
        <v>99</v>
      </c>
      <c r="T16" s="3" t="s">
        <v>216</v>
      </c>
      <c r="U16" s="3" t="s">
        <v>217</v>
      </c>
      <c r="V16" s="3" t="s">
        <v>218</v>
      </c>
      <c r="W16" s="3" t="s">
        <v>57</v>
      </c>
      <c r="X16" s="52">
        <v>4</v>
      </c>
      <c r="Y16" s="16">
        <v>5</v>
      </c>
      <c r="Z16" s="3" t="s">
        <v>219</v>
      </c>
    </row>
    <row r="17" spans="1:26" ht="118.5">
      <c r="A17" s="3" t="s">
        <v>220</v>
      </c>
      <c r="B17" s="3" t="s">
        <v>137</v>
      </c>
      <c r="C17" s="45" t="s">
        <v>221</v>
      </c>
      <c r="D17" s="3" t="s">
        <v>222</v>
      </c>
      <c r="E17" s="3" t="s">
        <v>223</v>
      </c>
      <c r="F17" s="14" t="s">
        <v>48</v>
      </c>
      <c r="G17" s="14" t="s">
        <v>65</v>
      </c>
      <c r="H17" s="3">
        <v>4</v>
      </c>
      <c r="I17" s="3">
        <v>4</v>
      </c>
      <c r="J17" s="3">
        <f t="shared" si="0"/>
        <v>16</v>
      </c>
      <c r="K17" s="3" t="s">
        <v>224</v>
      </c>
      <c r="L17" s="14" t="s">
        <v>78</v>
      </c>
      <c r="M17" s="14" t="s">
        <v>58</v>
      </c>
      <c r="N17" s="14" t="s">
        <v>58</v>
      </c>
      <c r="O17" s="14">
        <f t="shared" si="1"/>
        <v>36</v>
      </c>
      <c r="P17" s="3" t="s">
        <v>213</v>
      </c>
      <c r="Q17" s="3" t="s">
        <v>225</v>
      </c>
      <c r="R17" s="3" t="s">
        <v>226</v>
      </c>
      <c r="S17" s="3" t="s">
        <v>227</v>
      </c>
      <c r="T17" s="3" t="s">
        <v>228</v>
      </c>
      <c r="U17" s="3" t="s">
        <v>229</v>
      </c>
      <c r="V17" s="3" t="s">
        <v>230</v>
      </c>
      <c r="W17" s="3" t="s">
        <v>87</v>
      </c>
      <c r="X17" s="12" t="s">
        <v>231</v>
      </c>
      <c r="Y17" s="16">
        <f>J17-X17</f>
        <v>1</v>
      </c>
      <c r="Z17" s="3" t="s">
        <v>232</v>
      </c>
    </row>
    <row r="18" spans="1:26" ht="154.5">
      <c r="A18" s="3" t="s">
        <v>233</v>
      </c>
      <c r="B18" s="3" t="s">
        <v>137</v>
      </c>
      <c r="C18" s="45" t="s">
        <v>234</v>
      </c>
      <c r="D18" s="3" t="s">
        <v>235</v>
      </c>
      <c r="E18" s="3" t="s">
        <v>236</v>
      </c>
      <c r="F18" s="14" t="s">
        <v>48</v>
      </c>
      <c r="G18" s="14" t="s">
        <v>94</v>
      </c>
      <c r="H18" s="3">
        <v>4</v>
      </c>
      <c r="I18" s="3">
        <v>4</v>
      </c>
      <c r="J18" s="3">
        <f t="shared" si="0"/>
        <v>16</v>
      </c>
      <c r="K18" s="14" t="s">
        <v>237</v>
      </c>
      <c r="L18" s="14" t="s">
        <v>79</v>
      </c>
      <c r="M18" s="14" t="s">
        <v>79</v>
      </c>
      <c r="N18" s="14" t="s">
        <v>79</v>
      </c>
      <c r="O18" s="14">
        <f t="shared" si="1"/>
        <v>125</v>
      </c>
      <c r="P18" s="3" t="s">
        <v>238</v>
      </c>
      <c r="Q18" s="3" t="s">
        <v>239</v>
      </c>
      <c r="R18" s="3" t="s">
        <v>240</v>
      </c>
      <c r="S18" s="3" t="s">
        <v>241</v>
      </c>
      <c r="T18" s="3" t="s">
        <v>242</v>
      </c>
      <c r="U18" s="3" t="s">
        <v>243</v>
      </c>
      <c r="V18" s="3" t="s">
        <v>189</v>
      </c>
      <c r="W18" s="3" t="s">
        <v>87</v>
      </c>
      <c r="X18" s="12" t="s">
        <v>134</v>
      </c>
      <c r="Y18" s="16">
        <f>J18-X18</f>
        <v>2</v>
      </c>
      <c r="Z18" s="3" t="s">
        <v>244</v>
      </c>
    </row>
    <row r="19" spans="1:26" ht="84">
      <c r="A19" s="3" t="s">
        <v>245</v>
      </c>
      <c r="B19" s="3" t="s">
        <v>72</v>
      </c>
      <c r="C19" s="45" t="s">
        <v>246</v>
      </c>
      <c r="D19" s="3" t="s">
        <v>247</v>
      </c>
      <c r="E19" s="3" t="s">
        <v>248</v>
      </c>
      <c r="F19" s="14" t="s">
        <v>48</v>
      </c>
      <c r="G19" s="14" t="s">
        <v>65</v>
      </c>
      <c r="H19" s="3">
        <v>3</v>
      </c>
      <c r="I19" s="3">
        <v>4</v>
      </c>
      <c r="J19" s="3">
        <v>12</v>
      </c>
      <c r="K19" s="14" t="s">
        <v>249</v>
      </c>
      <c r="L19" s="14">
        <v>4</v>
      </c>
      <c r="M19" s="14">
        <v>4</v>
      </c>
      <c r="N19" s="14">
        <v>3</v>
      </c>
      <c r="O19" s="14">
        <f t="shared" ref="O19" si="2">L19*M19*N19</f>
        <v>48</v>
      </c>
      <c r="P19" s="3" t="s">
        <v>126</v>
      </c>
      <c r="Q19" s="3" t="s">
        <v>250</v>
      </c>
      <c r="R19" s="3" t="s">
        <v>159</v>
      </c>
      <c r="S19" s="3" t="s">
        <v>251</v>
      </c>
      <c r="T19" s="3" t="s">
        <v>252</v>
      </c>
      <c r="U19" s="3" t="s">
        <v>253</v>
      </c>
      <c r="V19" s="3" t="s">
        <v>254</v>
      </c>
      <c r="W19" s="3" t="s">
        <v>255</v>
      </c>
      <c r="X19" s="12" t="s">
        <v>103</v>
      </c>
      <c r="Y19" s="16">
        <f>J19-X19</f>
        <v>4</v>
      </c>
      <c r="Z19" s="3" t="s">
        <v>256</v>
      </c>
    </row>
    <row r="20" spans="1:26" ht="154.5">
      <c r="A20" s="3" t="s">
        <v>257</v>
      </c>
      <c r="B20" s="3" t="s">
        <v>137</v>
      </c>
      <c r="C20" s="45" t="s">
        <v>258</v>
      </c>
      <c r="D20" s="3" t="s">
        <v>259</v>
      </c>
      <c r="E20" s="3" t="s">
        <v>260</v>
      </c>
      <c r="F20" s="14" t="s">
        <v>48</v>
      </c>
      <c r="G20" s="14" t="s">
        <v>142</v>
      </c>
      <c r="H20" s="3">
        <v>4</v>
      </c>
      <c r="I20" s="3">
        <v>5</v>
      </c>
      <c r="J20" s="3">
        <f t="shared" si="0"/>
        <v>20</v>
      </c>
      <c r="K20" s="14" t="s">
        <v>261</v>
      </c>
      <c r="L20" s="14" t="s">
        <v>79</v>
      </c>
      <c r="M20" s="14" t="s">
        <v>58</v>
      </c>
      <c r="N20" s="14" t="s">
        <v>78</v>
      </c>
      <c r="O20" s="14">
        <f t="shared" si="1"/>
        <v>60</v>
      </c>
      <c r="P20" s="3" t="s">
        <v>110</v>
      </c>
      <c r="Q20" s="3" t="s">
        <v>262</v>
      </c>
      <c r="R20" s="3" t="s">
        <v>263</v>
      </c>
      <c r="S20" s="3" t="s">
        <v>264</v>
      </c>
      <c r="T20" s="3" t="s">
        <v>265</v>
      </c>
      <c r="U20" s="3" t="s">
        <v>266</v>
      </c>
      <c r="V20" s="3" t="s">
        <v>267</v>
      </c>
      <c r="W20" s="3" t="s">
        <v>268</v>
      </c>
      <c r="X20" s="13">
        <v>17</v>
      </c>
      <c r="Y20" s="16">
        <f>J20-X20</f>
        <v>3</v>
      </c>
      <c r="Z20" s="3" t="s">
        <v>269</v>
      </c>
    </row>
    <row r="21" spans="1:26" ht="130.5">
      <c r="A21" s="3" t="s">
        <v>270</v>
      </c>
      <c r="B21" s="3" t="s">
        <v>61</v>
      </c>
      <c r="C21" s="45" t="s">
        <v>271</v>
      </c>
      <c r="D21" s="3" t="s">
        <v>272</v>
      </c>
      <c r="E21" s="3" t="s">
        <v>273</v>
      </c>
      <c r="F21" s="14" t="s">
        <v>48</v>
      </c>
      <c r="G21" s="14" t="s">
        <v>65</v>
      </c>
      <c r="H21" s="3">
        <v>4</v>
      </c>
      <c r="I21" s="3">
        <v>4</v>
      </c>
      <c r="J21" s="3">
        <f t="shared" si="0"/>
        <v>16</v>
      </c>
      <c r="K21" s="14" t="s">
        <v>274</v>
      </c>
      <c r="L21" s="14" t="s">
        <v>78</v>
      </c>
      <c r="M21" s="14" t="s">
        <v>78</v>
      </c>
      <c r="N21" s="14" t="s">
        <v>58</v>
      </c>
      <c r="O21" s="14">
        <f t="shared" si="1"/>
        <v>48</v>
      </c>
      <c r="P21" s="3" t="s">
        <v>110</v>
      </c>
      <c r="Q21" s="3" t="s">
        <v>275</v>
      </c>
      <c r="R21" s="3" t="s">
        <v>276</v>
      </c>
      <c r="S21" s="3" t="s">
        <v>277</v>
      </c>
      <c r="T21" s="3" t="s">
        <v>278</v>
      </c>
      <c r="U21" s="3" t="s">
        <v>279</v>
      </c>
      <c r="V21" s="3" t="s">
        <v>280</v>
      </c>
      <c r="W21" s="3" t="s">
        <v>281</v>
      </c>
      <c r="X21" s="12" t="s">
        <v>134</v>
      </c>
      <c r="Y21" s="16">
        <f>J21-X21</f>
        <v>2</v>
      </c>
      <c r="Z21" s="3" t="s">
        <v>282</v>
      </c>
    </row>
    <row r="22" spans="1:26" ht="345.75">
      <c r="A22" s="3" t="s">
        <v>283</v>
      </c>
      <c r="B22" s="3" t="s">
        <v>168</v>
      </c>
      <c r="C22" s="45" t="s">
        <v>284</v>
      </c>
      <c r="D22" s="3" t="s">
        <v>285</v>
      </c>
      <c r="E22" s="3" t="s">
        <v>286</v>
      </c>
      <c r="F22" s="14" t="s">
        <v>48</v>
      </c>
      <c r="G22" s="14" t="s">
        <v>65</v>
      </c>
      <c r="H22" s="3">
        <v>3</v>
      </c>
      <c r="I22" s="3">
        <v>4</v>
      </c>
      <c r="J22" s="3">
        <f t="shared" si="0"/>
        <v>12</v>
      </c>
      <c r="K22" s="14" t="s">
        <v>287</v>
      </c>
      <c r="L22" s="14" t="s">
        <v>78</v>
      </c>
      <c r="M22" s="14" t="s">
        <v>58</v>
      </c>
      <c r="N22" s="14" t="s">
        <v>79</v>
      </c>
      <c r="O22" s="14">
        <f t="shared" si="1"/>
        <v>60</v>
      </c>
      <c r="P22" s="3" t="s">
        <v>110</v>
      </c>
      <c r="Q22" s="3" t="s">
        <v>288</v>
      </c>
      <c r="R22" s="3" t="s">
        <v>289</v>
      </c>
      <c r="S22" s="3" t="s">
        <v>290</v>
      </c>
      <c r="T22" s="3" t="s">
        <v>291</v>
      </c>
      <c r="U22" s="3" t="s">
        <v>292</v>
      </c>
      <c r="V22" s="3" t="s">
        <v>293</v>
      </c>
      <c r="W22" s="3" t="s">
        <v>294</v>
      </c>
      <c r="X22" s="12" t="s">
        <v>295</v>
      </c>
      <c r="Y22" s="16">
        <f>J22-X22</f>
        <v>3</v>
      </c>
      <c r="Z22" s="3" t="s">
        <v>296</v>
      </c>
    </row>
    <row r="23" spans="1:26" ht="118.5">
      <c r="A23" s="3" t="s">
        <v>297</v>
      </c>
      <c r="B23" s="3" t="s">
        <v>298</v>
      </c>
      <c r="C23" s="45" t="s">
        <v>299</v>
      </c>
      <c r="D23" s="3" t="s">
        <v>300</v>
      </c>
      <c r="E23" s="3" t="s">
        <v>301</v>
      </c>
      <c r="F23" s="14" t="s">
        <v>48</v>
      </c>
      <c r="G23" s="14" t="s">
        <v>65</v>
      </c>
      <c r="H23" s="3">
        <v>4</v>
      </c>
      <c r="I23" s="3">
        <v>3</v>
      </c>
      <c r="J23" s="3">
        <f t="shared" si="0"/>
        <v>12</v>
      </c>
      <c r="K23" s="14" t="s">
        <v>302</v>
      </c>
      <c r="L23" s="14" t="s">
        <v>58</v>
      </c>
      <c r="M23" s="14" t="s">
        <v>78</v>
      </c>
      <c r="N23" s="14" t="s">
        <v>78</v>
      </c>
      <c r="O23" s="14">
        <f t="shared" si="1"/>
        <v>48</v>
      </c>
      <c r="P23" s="3" t="s">
        <v>126</v>
      </c>
      <c r="Q23" s="3" t="s">
        <v>303</v>
      </c>
      <c r="R23" s="3" t="s">
        <v>304</v>
      </c>
      <c r="S23" s="3" t="s">
        <v>305</v>
      </c>
      <c r="T23" s="3" t="s">
        <v>306</v>
      </c>
      <c r="U23" s="3" t="s">
        <v>307</v>
      </c>
      <c r="V23" s="3" t="s">
        <v>308</v>
      </c>
      <c r="W23" s="3" t="s">
        <v>309</v>
      </c>
      <c r="X23" s="12" t="s">
        <v>165</v>
      </c>
      <c r="Y23" s="16">
        <f>J23-X23</f>
        <v>1</v>
      </c>
      <c r="Z23" s="3" t="s">
        <v>310</v>
      </c>
    </row>
    <row r="24" spans="1:26" ht="165.75" customHeight="1">
      <c r="A24" s="3" t="s">
        <v>311</v>
      </c>
      <c r="B24" s="3" t="s">
        <v>312</v>
      </c>
      <c r="C24" s="45" t="s">
        <v>313</v>
      </c>
      <c r="D24" s="3" t="s">
        <v>314</v>
      </c>
      <c r="E24" s="3" t="s">
        <v>315</v>
      </c>
      <c r="F24" s="14" t="s">
        <v>48</v>
      </c>
      <c r="G24" s="14" t="s">
        <v>316</v>
      </c>
      <c r="H24" s="3">
        <v>3</v>
      </c>
      <c r="I24" s="3">
        <v>5</v>
      </c>
      <c r="J24" s="3">
        <v>15</v>
      </c>
      <c r="K24" s="14" t="s">
        <v>317</v>
      </c>
      <c r="L24" s="14" t="s">
        <v>79</v>
      </c>
      <c r="M24" s="14" t="s">
        <v>79</v>
      </c>
      <c r="N24" s="14" t="s">
        <v>79</v>
      </c>
      <c r="O24" s="14">
        <f t="shared" si="1"/>
        <v>125</v>
      </c>
      <c r="P24" s="3" t="s">
        <v>126</v>
      </c>
      <c r="Q24" s="3" t="s">
        <v>318</v>
      </c>
      <c r="R24" s="3" t="s">
        <v>319</v>
      </c>
      <c r="S24" s="3" t="s">
        <v>320</v>
      </c>
      <c r="T24" s="3" t="s">
        <v>321</v>
      </c>
      <c r="U24" s="3" t="s">
        <v>322</v>
      </c>
      <c r="V24" s="3" t="s">
        <v>323</v>
      </c>
      <c r="W24" s="3" t="s">
        <v>57</v>
      </c>
      <c r="X24" s="12" t="s">
        <v>324</v>
      </c>
      <c r="Y24" s="16">
        <f>J24-X24</f>
        <v>2</v>
      </c>
      <c r="Z24" s="3" t="s">
        <v>325</v>
      </c>
    </row>
    <row r="25" spans="1:26" ht="154.5">
      <c r="A25" s="3" t="s">
        <v>326</v>
      </c>
      <c r="B25" s="3" t="s">
        <v>137</v>
      </c>
      <c r="C25" s="45" t="s">
        <v>327</v>
      </c>
      <c r="D25" s="3" t="s">
        <v>328</v>
      </c>
      <c r="E25" s="3" t="s">
        <v>329</v>
      </c>
      <c r="F25" s="14" t="s">
        <v>48</v>
      </c>
      <c r="G25" s="14" t="s">
        <v>330</v>
      </c>
      <c r="H25" s="3">
        <v>1</v>
      </c>
      <c r="I25" s="3">
        <v>4</v>
      </c>
      <c r="J25" s="3">
        <f t="shared" si="0"/>
        <v>4</v>
      </c>
      <c r="K25" s="14" t="s">
        <v>331</v>
      </c>
      <c r="L25" s="14">
        <v>4</v>
      </c>
      <c r="M25" s="14">
        <v>4</v>
      </c>
      <c r="N25" s="14">
        <v>2</v>
      </c>
      <c r="O25" s="14">
        <f t="shared" si="1"/>
        <v>32</v>
      </c>
      <c r="P25" s="3" t="s">
        <v>126</v>
      </c>
      <c r="Q25" s="3" t="s">
        <v>332</v>
      </c>
      <c r="R25" s="3" t="s">
        <v>333</v>
      </c>
      <c r="S25" s="3" t="s">
        <v>334</v>
      </c>
      <c r="T25" s="3" t="s">
        <v>335</v>
      </c>
      <c r="U25" s="3" t="s">
        <v>336</v>
      </c>
      <c r="V25" s="3" t="s">
        <v>337</v>
      </c>
      <c r="W25" s="3" t="s">
        <v>338</v>
      </c>
      <c r="X25" s="12" t="s">
        <v>58</v>
      </c>
      <c r="Y25" s="16">
        <f>J25-X25</f>
        <v>1</v>
      </c>
      <c r="Z25" s="3" t="s">
        <v>339</v>
      </c>
    </row>
    <row r="26" spans="1:26" ht="178.5">
      <c r="A26" s="3" t="s">
        <v>340</v>
      </c>
      <c r="B26" s="3" t="s">
        <v>137</v>
      </c>
      <c r="C26" s="45" t="s">
        <v>341</v>
      </c>
      <c r="D26" s="3" t="s">
        <v>342</v>
      </c>
      <c r="E26" s="3" t="s">
        <v>343</v>
      </c>
      <c r="F26" s="14" t="s">
        <v>48</v>
      </c>
      <c r="G26" s="14" t="s">
        <v>65</v>
      </c>
      <c r="H26" s="3">
        <v>5</v>
      </c>
      <c r="I26" s="3">
        <v>4</v>
      </c>
      <c r="J26" s="3">
        <f t="shared" si="0"/>
        <v>20</v>
      </c>
      <c r="K26" s="14" t="s">
        <v>344</v>
      </c>
      <c r="L26" s="14">
        <v>5</v>
      </c>
      <c r="M26" s="14">
        <v>4</v>
      </c>
      <c r="N26" s="14">
        <v>4</v>
      </c>
      <c r="O26" s="14">
        <f t="shared" si="1"/>
        <v>80</v>
      </c>
      <c r="P26" s="3" t="s">
        <v>126</v>
      </c>
      <c r="Q26" s="3" t="s">
        <v>345</v>
      </c>
      <c r="R26" s="3" t="s">
        <v>346</v>
      </c>
      <c r="S26" s="3" t="s">
        <v>190</v>
      </c>
      <c r="T26" s="3" t="s">
        <v>347</v>
      </c>
      <c r="U26" s="3" t="s">
        <v>348</v>
      </c>
      <c r="V26" s="3" t="s">
        <v>349</v>
      </c>
      <c r="W26" s="3" t="s">
        <v>338</v>
      </c>
      <c r="X26" s="12" t="s">
        <v>118</v>
      </c>
      <c r="Y26" s="16">
        <v>2</v>
      </c>
      <c r="Z26" s="3" t="s">
        <v>350</v>
      </c>
    </row>
    <row r="27" spans="1:26" ht="197.25" customHeight="1">
      <c r="A27" s="3" t="s">
        <v>351</v>
      </c>
      <c r="B27" s="3" t="s">
        <v>90</v>
      </c>
      <c r="C27" s="45" t="s">
        <v>352</v>
      </c>
      <c r="D27" s="3" t="s">
        <v>353</v>
      </c>
      <c r="E27" s="3" t="s">
        <v>354</v>
      </c>
      <c r="F27" s="14" t="s">
        <v>48</v>
      </c>
      <c r="G27" s="14" t="s">
        <v>355</v>
      </c>
      <c r="H27" s="3">
        <v>1</v>
      </c>
      <c r="I27" s="3">
        <v>4</v>
      </c>
      <c r="J27" s="3">
        <f t="shared" si="0"/>
        <v>4</v>
      </c>
      <c r="K27" s="14" t="s">
        <v>356</v>
      </c>
      <c r="L27" s="14">
        <v>3</v>
      </c>
      <c r="M27" s="14">
        <v>2</v>
      </c>
      <c r="N27" s="14">
        <v>2</v>
      </c>
      <c r="O27" s="14">
        <f t="shared" si="1"/>
        <v>12</v>
      </c>
      <c r="P27" s="3" t="s">
        <v>126</v>
      </c>
      <c r="Q27" s="3" t="s">
        <v>357</v>
      </c>
      <c r="R27" s="3" t="s">
        <v>358</v>
      </c>
      <c r="S27" s="3" t="s">
        <v>190</v>
      </c>
      <c r="T27" s="3" t="s">
        <v>359</v>
      </c>
      <c r="U27" s="3" t="s">
        <v>360</v>
      </c>
      <c r="V27" s="3" t="s">
        <v>361</v>
      </c>
      <c r="W27" s="3" t="s">
        <v>338</v>
      </c>
      <c r="X27" s="12" t="s">
        <v>58</v>
      </c>
      <c r="Y27" s="16">
        <f>J27-X27</f>
        <v>1</v>
      </c>
      <c r="Z27" s="3" t="s">
        <v>362</v>
      </c>
    </row>
    <row r="28" spans="1:26" ht="162.75" customHeight="1">
      <c r="A28" s="3" t="s">
        <v>363</v>
      </c>
      <c r="B28" s="3" t="s">
        <v>298</v>
      </c>
      <c r="C28" s="45" t="s">
        <v>364</v>
      </c>
      <c r="D28" s="3" t="s">
        <v>365</v>
      </c>
      <c r="E28" s="3" t="s">
        <v>366</v>
      </c>
      <c r="F28" s="3" t="s">
        <v>48</v>
      </c>
      <c r="G28" s="3" t="s">
        <v>367</v>
      </c>
      <c r="H28" s="3">
        <v>4</v>
      </c>
      <c r="I28" s="3">
        <v>4</v>
      </c>
      <c r="J28" s="3">
        <v>16</v>
      </c>
      <c r="K28" s="3" t="s">
        <v>368</v>
      </c>
      <c r="L28" s="3">
        <v>4</v>
      </c>
      <c r="M28" s="3">
        <v>5</v>
      </c>
      <c r="N28" s="3">
        <v>5</v>
      </c>
      <c r="O28" s="3">
        <v>100</v>
      </c>
      <c r="P28" s="3" t="s">
        <v>369</v>
      </c>
      <c r="Q28" s="3" t="s">
        <v>370</v>
      </c>
      <c r="R28" s="3" t="s">
        <v>371</v>
      </c>
      <c r="S28" s="3" t="s">
        <v>372</v>
      </c>
      <c r="T28" s="3" t="s">
        <v>373</v>
      </c>
      <c r="U28" s="3" t="s">
        <v>374</v>
      </c>
      <c r="V28" s="3" t="s">
        <v>53</v>
      </c>
      <c r="W28" s="3" t="s">
        <v>375</v>
      </c>
      <c r="X28" s="12" t="s">
        <v>134</v>
      </c>
      <c r="Y28" s="3">
        <v>2</v>
      </c>
      <c r="Z28" s="3" t="s">
        <v>376</v>
      </c>
    </row>
    <row r="29" spans="1:26" ht="140.25" customHeight="1">
      <c r="A29" s="3" t="s">
        <v>377</v>
      </c>
      <c r="B29" s="3" t="s">
        <v>72</v>
      </c>
      <c r="C29" s="45" t="s">
        <v>378</v>
      </c>
      <c r="D29" s="3" t="s">
        <v>379</v>
      </c>
      <c r="E29" s="3" t="s">
        <v>378</v>
      </c>
      <c r="F29" s="3" t="s">
        <v>48</v>
      </c>
      <c r="G29" s="3" t="s">
        <v>316</v>
      </c>
      <c r="H29" s="3">
        <v>3</v>
      </c>
      <c r="I29" s="3">
        <v>4</v>
      </c>
      <c r="J29" s="3">
        <v>12</v>
      </c>
      <c r="K29" s="3" t="s">
        <v>380</v>
      </c>
      <c r="L29" s="3">
        <v>4</v>
      </c>
      <c r="M29" s="3">
        <v>4</v>
      </c>
      <c r="N29" s="3">
        <v>4</v>
      </c>
      <c r="O29" s="3">
        <v>64</v>
      </c>
      <c r="P29" s="3" t="s">
        <v>381</v>
      </c>
      <c r="Q29" s="3" t="s">
        <v>382</v>
      </c>
      <c r="R29" s="3" t="s">
        <v>383</v>
      </c>
      <c r="S29" s="3" t="s">
        <v>372</v>
      </c>
      <c r="T29" s="3" t="s">
        <v>384</v>
      </c>
      <c r="U29" s="3" t="s">
        <v>385</v>
      </c>
      <c r="V29" s="3" t="s">
        <v>323</v>
      </c>
      <c r="W29" s="3" t="s">
        <v>375</v>
      </c>
      <c r="X29" s="12">
        <v>10</v>
      </c>
      <c r="Y29" s="3">
        <v>2</v>
      </c>
      <c r="Z29" s="3" t="s">
        <v>386</v>
      </c>
    </row>
    <row r="30" spans="1:26" ht="154.5">
      <c r="A30" s="3" t="s">
        <v>387</v>
      </c>
      <c r="B30" s="3" t="s">
        <v>137</v>
      </c>
      <c r="C30" s="45" t="s">
        <v>388</v>
      </c>
      <c r="D30" s="3" t="s">
        <v>389</v>
      </c>
      <c r="E30" s="3" t="s">
        <v>388</v>
      </c>
      <c r="F30" s="3" t="s">
        <v>48</v>
      </c>
      <c r="G30" s="3" t="s">
        <v>390</v>
      </c>
      <c r="H30" s="3">
        <v>3</v>
      </c>
      <c r="I30" s="3">
        <v>3</v>
      </c>
      <c r="J30" s="3">
        <v>9</v>
      </c>
      <c r="K30" s="3" t="s">
        <v>391</v>
      </c>
      <c r="L30" s="3">
        <v>3</v>
      </c>
      <c r="M30" s="3">
        <v>3</v>
      </c>
      <c r="N30" s="3">
        <v>3</v>
      </c>
      <c r="O30" s="3">
        <v>27</v>
      </c>
      <c r="P30" s="3" t="s">
        <v>173</v>
      </c>
      <c r="Q30" s="3" t="s">
        <v>392</v>
      </c>
      <c r="R30" s="3" t="s">
        <v>393</v>
      </c>
      <c r="S30" s="3" t="s">
        <v>320</v>
      </c>
      <c r="T30" s="3" t="s">
        <v>394</v>
      </c>
      <c r="U30" s="3" t="s">
        <v>395</v>
      </c>
      <c r="V30" s="3" t="s">
        <v>396</v>
      </c>
      <c r="W30" s="3" t="s">
        <v>87</v>
      </c>
      <c r="X30" s="12" t="s">
        <v>397</v>
      </c>
      <c r="Y30" s="3">
        <v>2</v>
      </c>
      <c r="Z30" s="3" t="s">
        <v>398</v>
      </c>
    </row>
    <row r="31" spans="1:26" ht="166.5">
      <c r="A31" s="3" t="s">
        <v>399</v>
      </c>
      <c r="B31" s="3" t="s">
        <v>121</v>
      </c>
      <c r="C31" s="45" t="s">
        <v>400</v>
      </c>
      <c r="D31" s="3" t="s">
        <v>401</v>
      </c>
      <c r="E31" s="3" t="s">
        <v>400</v>
      </c>
      <c r="F31" s="3" t="s">
        <v>141</v>
      </c>
      <c r="G31" s="3" t="s">
        <v>76</v>
      </c>
      <c r="H31" s="3">
        <v>4</v>
      </c>
      <c r="I31" s="3">
        <v>3</v>
      </c>
      <c r="J31" s="3">
        <v>12</v>
      </c>
      <c r="K31" s="3" t="s">
        <v>402</v>
      </c>
      <c r="L31" s="3">
        <v>3</v>
      </c>
      <c r="M31" s="3">
        <v>4</v>
      </c>
      <c r="N31" s="3">
        <v>4</v>
      </c>
      <c r="O31" s="3">
        <v>36</v>
      </c>
      <c r="P31" s="3" t="s">
        <v>381</v>
      </c>
      <c r="Q31" s="3" t="s">
        <v>403</v>
      </c>
      <c r="R31" s="3" t="s">
        <v>404</v>
      </c>
      <c r="S31" s="3" t="s">
        <v>372</v>
      </c>
      <c r="T31" s="3" t="s">
        <v>405</v>
      </c>
      <c r="U31" s="3" t="s">
        <v>406</v>
      </c>
      <c r="V31" s="3" t="s">
        <v>407</v>
      </c>
      <c r="W31" s="3" t="s">
        <v>408</v>
      </c>
      <c r="X31" s="12">
        <v>9</v>
      </c>
      <c r="Y31" s="3">
        <v>3</v>
      </c>
      <c r="Z31" s="3" t="s">
        <v>409</v>
      </c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autoFilter ref="A3:Z3" xr:uid="{00000000-0001-0000-0000-000000000000}"/>
  <mergeCells count="1">
    <mergeCell ref="B1:V1"/>
  </mergeCells>
  <pageMargins left="0.5" right="0.5" top="0.75" bottom="0.75" header="0" footer="0"/>
  <pageSetup orientation="portrait"/>
  <headerFooter>
    <oddFooter>&amp;C000000&amp;P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listas!$C$3:$C$15</xm:f>
          </x14:formula1>
          <xm:sqref>B5:B18 B20:B27</xm:sqref>
        </x14:dataValidation>
        <x14:dataValidation type="list" allowBlank="1" showErrorMessage="1" xr:uid="{00000000-0002-0000-0000-000001000000}">
          <x14:formula1>
            <xm:f>listas!$F$69:$F$73</xm:f>
          </x14:formula1>
          <xm:sqref>H20:I27 H5:I18 L5:N18 L20:N27</xm:sqref>
        </x14:dataValidation>
        <x14:dataValidation type="list" allowBlank="1" showErrorMessage="1" xr:uid="{00000000-0002-0000-0000-000002000000}">
          <x14:formula1>
            <xm:f>listas!$G$4:$G$13</xm:f>
          </x14:formula1>
          <xm:sqref>G5:G18 G20:G27</xm:sqref>
        </x14:dataValidation>
        <x14:dataValidation type="list" allowBlank="1" showErrorMessage="1" xr:uid="{00000000-0002-0000-0000-000003000000}">
          <x14:formula1>
            <xm:f>listas!$C$173:$C$174</xm:f>
          </x14:formula1>
          <xm:sqref>F5:F18 F20:F27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>
      <pane xSplit="1" topLeftCell="C1" activePane="topRight" state="frozen"/>
      <selection pane="topRight" activeCell="C2" sqref="C2"/>
    </sheetView>
  </sheetViews>
  <sheetFormatPr defaultColWidth="14.42578125" defaultRowHeight="15" customHeight="1"/>
  <cols>
    <col min="1" max="3" width="16.28515625" customWidth="1"/>
    <col min="4" max="5" width="22.42578125" customWidth="1"/>
    <col min="6" max="6" width="23.42578125" customWidth="1"/>
    <col min="7" max="7" width="24.7109375" customWidth="1"/>
    <col min="8" max="8" width="26.28515625" customWidth="1"/>
    <col min="9" max="9" width="16.28515625" customWidth="1"/>
    <col min="10" max="10" width="17.42578125" customWidth="1"/>
    <col min="11" max="11" width="17.7109375" customWidth="1"/>
    <col min="12" max="12" width="21.85546875" customWidth="1"/>
    <col min="13" max="13" width="21.7109375" customWidth="1"/>
    <col min="14" max="26" width="16.28515625" customWidth="1"/>
  </cols>
  <sheetData>
    <row r="1" spans="1:26" ht="12.75" customHeight="1">
      <c r="A1" s="18" t="s">
        <v>410</v>
      </c>
      <c r="B1" s="19"/>
      <c r="C1" s="19"/>
      <c r="D1" s="19"/>
      <c r="E1" s="19"/>
      <c r="F1" s="19"/>
      <c r="G1" s="19"/>
      <c r="H1" s="19"/>
      <c r="I1" s="20"/>
      <c r="J1" s="18" t="s">
        <v>411</v>
      </c>
      <c r="K1" s="19"/>
      <c r="L1" s="19"/>
      <c r="M1" s="19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>
      <c r="A2" s="18" t="s">
        <v>412</v>
      </c>
      <c r="B2" s="21" t="s">
        <v>413</v>
      </c>
      <c r="C2" s="21" t="s">
        <v>414</v>
      </c>
      <c r="D2" s="21" t="s">
        <v>415</v>
      </c>
      <c r="E2" s="21" t="s">
        <v>416</v>
      </c>
      <c r="F2" s="21" t="s">
        <v>417</v>
      </c>
      <c r="G2" s="21" t="s">
        <v>418</v>
      </c>
      <c r="H2" s="21" t="s">
        <v>419</v>
      </c>
      <c r="I2" s="20"/>
      <c r="J2" s="18" t="s">
        <v>412</v>
      </c>
      <c r="K2" s="18" t="s">
        <v>420</v>
      </c>
      <c r="L2" s="18" t="s">
        <v>421</v>
      </c>
      <c r="M2" s="18" t="s">
        <v>422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>
        <v>5</v>
      </c>
      <c r="B3" s="3" t="s">
        <v>423</v>
      </c>
      <c r="C3" s="23" t="s">
        <v>424</v>
      </c>
      <c r="D3" s="24" t="s">
        <v>425</v>
      </c>
      <c r="E3" s="24" t="s">
        <v>426</v>
      </c>
      <c r="F3" s="24" t="s">
        <v>427</v>
      </c>
      <c r="G3" s="24" t="s">
        <v>428</v>
      </c>
      <c r="H3" s="24" t="s">
        <v>429</v>
      </c>
      <c r="I3" s="20"/>
      <c r="J3" s="22">
        <v>5</v>
      </c>
      <c r="K3" s="3" t="s">
        <v>430</v>
      </c>
      <c r="L3" s="24" t="s">
        <v>431</v>
      </c>
      <c r="M3" s="24" t="s">
        <v>432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5">
        <v>4</v>
      </c>
      <c r="B4" s="3" t="s">
        <v>433</v>
      </c>
      <c r="C4" s="23" t="s">
        <v>434</v>
      </c>
      <c r="D4" s="24" t="s">
        <v>435</v>
      </c>
      <c r="E4" s="24" t="s">
        <v>436</v>
      </c>
      <c r="F4" s="24" t="s">
        <v>437</v>
      </c>
      <c r="G4" s="24" t="s">
        <v>438</v>
      </c>
      <c r="H4" s="24" t="s">
        <v>439</v>
      </c>
      <c r="I4" s="20"/>
      <c r="J4" s="25">
        <v>4</v>
      </c>
      <c r="K4" s="3" t="s">
        <v>440</v>
      </c>
      <c r="L4" s="24" t="s">
        <v>441</v>
      </c>
      <c r="M4" s="24" t="s">
        <v>442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6">
        <v>3</v>
      </c>
      <c r="B5" s="3" t="s">
        <v>443</v>
      </c>
      <c r="C5" s="23" t="s">
        <v>444</v>
      </c>
      <c r="D5" s="24" t="s">
        <v>445</v>
      </c>
      <c r="E5" s="24" t="s">
        <v>446</v>
      </c>
      <c r="F5" s="24" t="s">
        <v>447</v>
      </c>
      <c r="G5" s="24" t="s">
        <v>448</v>
      </c>
      <c r="H5" s="24" t="s">
        <v>449</v>
      </c>
      <c r="I5" s="20"/>
      <c r="J5" s="26">
        <v>3</v>
      </c>
      <c r="K5" s="3" t="s">
        <v>450</v>
      </c>
      <c r="L5" s="24" t="s">
        <v>451</v>
      </c>
      <c r="M5" s="24" t="s">
        <v>452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7">
        <v>2</v>
      </c>
      <c r="B6" s="3" t="s">
        <v>453</v>
      </c>
      <c r="C6" s="23" t="s">
        <v>454</v>
      </c>
      <c r="D6" s="24" t="s">
        <v>455</v>
      </c>
      <c r="E6" s="24" t="s">
        <v>456</v>
      </c>
      <c r="F6" s="24" t="s">
        <v>457</v>
      </c>
      <c r="G6" s="24" t="s">
        <v>458</v>
      </c>
      <c r="H6" s="24" t="s">
        <v>459</v>
      </c>
      <c r="I6" s="20"/>
      <c r="J6" s="27">
        <v>2</v>
      </c>
      <c r="K6" s="3" t="s">
        <v>460</v>
      </c>
      <c r="L6" s="24" t="s">
        <v>461</v>
      </c>
      <c r="M6" s="24" t="s">
        <v>462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8">
        <v>1</v>
      </c>
      <c r="B7" s="3" t="s">
        <v>463</v>
      </c>
      <c r="C7" s="23" t="s">
        <v>464</v>
      </c>
      <c r="D7" s="24" t="s">
        <v>465</v>
      </c>
      <c r="E7" s="24" t="s">
        <v>466</v>
      </c>
      <c r="F7" s="24" t="s">
        <v>467</v>
      </c>
      <c r="G7" s="24" t="s">
        <v>468</v>
      </c>
      <c r="H7" s="24" t="s">
        <v>469</v>
      </c>
      <c r="I7" s="20"/>
      <c r="J7" s="28">
        <v>1</v>
      </c>
      <c r="K7" s="3" t="s">
        <v>470</v>
      </c>
      <c r="L7" s="24" t="s">
        <v>471</v>
      </c>
      <c r="M7" s="24" t="s">
        <v>472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18" t="s">
        <v>473</v>
      </c>
      <c r="B11" s="19"/>
      <c r="C11" s="19"/>
      <c r="D11" s="19"/>
      <c r="E11" s="29"/>
      <c r="F11" s="30"/>
      <c r="G11" s="31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7.75" customHeight="1">
      <c r="A12" s="18" t="s">
        <v>412</v>
      </c>
      <c r="B12" s="18" t="s">
        <v>474</v>
      </c>
      <c r="C12" s="18" t="s">
        <v>475</v>
      </c>
      <c r="D12" s="18" t="s">
        <v>476</v>
      </c>
      <c r="E12" s="20"/>
      <c r="F12" s="32"/>
      <c r="G12" s="31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>
        <v>5</v>
      </c>
      <c r="B13" s="23" t="s">
        <v>477</v>
      </c>
      <c r="C13" s="23" t="s">
        <v>478</v>
      </c>
      <c r="D13" s="23" t="s">
        <v>479</v>
      </c>
      <c r="E13" s="33"/>
      <c r="F13" s="33"/>
      <c r="H13" s="34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5">
        <v>4</v>
      </c>
      <c r="B14" s="23" t="s">
        <v>480</v>
      </c>
      <c r="C14" s="23" t="s">
        <v>481</v>
      </c>
      <c r="D14" s="23" t="s">
        <v>482</v>
      </c>
      <c r="E14" s="33"/>
      <c r="F14" s="35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6">
        <v>3</v>
      </c>
      <c r="B15" s="23" t="s">
        <v>483</v>
      </c>
      <c r="C15" s="23" t="s">
        <v>484</v>
      </c>
      <c r="D15" s="23" t="s">
        <v>485</v>
      </c>
      <c r="E15" s="33"/>
      <c r="F15" s="35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7">
        <v>2</v>
      </c>
      <c r="B16" s="23" t="s">
        <v>486</v>
      </c>
      <c r="C16" s="23" t="s">
        <v>487</v>
      </c>
      <c r="D16" s="23" t="s">
        <v>488</v>
      </c>
      <c r="E16" s="33"/>
      <c r="F16" s="35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8">
        <v>1</v>
      </c>
      <c r="B17" s="24" t="s">
        <v>489</v>
      </c>
      <c r="C17" s="23" t="s">
        <v>490</v>
      </c>
      <c r="D17" s="23" t="s">
        <v>491</v>
      </c>
      <c r="E17" s="20"/>
      <c r="F17" s="3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0"/>
      <c r="B18" s="36" t="s">
        <v>492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0"/>
      <c r="B19" s="36" t="s">
        <v>493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0"/>
      <c r="B20" s="36" t="s">
        <v>494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36"/>
      <c r="B21" s="35"/>
      <c r="C21" s="33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0"/>
      <c r="B22" s="35"/>
      <c r="C22" s="33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0"/>
      <c r="B23" s="35"/>
      <c r="C23" s="33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0"/>
      <c r="B24" s="35"/>
      <c r="C24" s="33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0"/>
      <c r="B25" s="35"/>
      <c r="C25" s="33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0"/>
      <c r="B31" s="20"/>
      <c r="C31" s="20"/>
      <c r="D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0"/>
      <c r="B32" s="20"/>
      <c r="C32" s="20"/>
      <c r="D32" s="35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>
      <c r="A33" s="20"/>
      <c r="B33" s="20"/>
      <c r="C33" s="20"/>
      <c r="D33" s="35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>
      <c r="A34" s="20"/>
      <c r="B34" s="20"/>
      <c r="C34" s="20"/>
      <c r="D34" s="35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>
      <c r="A35" s="20"/>
      <c r="B35" s="20"/>
      <c r="C35" s="20"/>
      <c r="D35" s="35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>
      <c r="A38" s="20"/>
      <c r="B38" s="20"/>
      <c r="C38" s="20"/>
      <c r="D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>
      <c r="A39" s="20"/>
      <c r="B39" s="20"/>
      <c r="C39" s="20"/>
      <c r="D39" s="35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>
      <c r="A40" s="20"/>
      <c r="B40" s="20"/>
      <c r="C40" s="20"/>
      <c r="D40" s="35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>
      <c r="A41" s="20"/>
      <c r="B41" s="20"/>
      <c r="C41" s="20"/>
      <c r="D41" s="35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>
      <c r="A42" s="20"/>
      <c r="B42" s="20"/>
      <c r="C42" s="20"/>
      <c r="D42" s="35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1" right="1" top="1" bottom="1" header="0" footer="0"/>
  <pageSetup orientation="portrait"/>
  <headerFooter>
    <oddFooter>&amp;C000000&amp;P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18.85546875" customWidth="1"/>
    <col min="2" max="2" width="39.42578125" customWidth="1"/>
    <col min="3" max="6" width="16.28515625" customWidth="1"/>
    <col min="7" max="7" width="14.7109375" customWidth="1"/>
    <col min="8" max="8" width="21" customWidth="1"/>
    <col min="9" max="26" width="16.28515625" customWidth="1"/>
  </cols>
  <sheetData>
    <row r="1" spans="1:26" ht="12.75" customHeight="1">
      <c r="A1" s="56"/>
      <c r="B1" s="57"/>
      <c r="C1" s="57"/>
      <c r="D1" s="57"/>
      <c r="E1" s="57"/>
      <c r="F1" s="57"/>
      <c r="G1" s="57"/>
      <c r="H1" s="57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2.75" customHeight="1">
      <c r="A2" s="37" t="s">
        <v>1</v>
      </c>
      <c r="B2" s="37" t="s">
        <v>20</v>
      </c>
      <c r="C2" s="38"/>
      <c r="D2" s="38"/>
      <c r="E2" s="38"/>
      <c r="F2" s="38"/>
      <c r="G2" s="38"/>
      <c r="H2" s="38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2.75" customHeight="1">
      <c r="A3" s="39" t="s">
        <v>495</v>
      </c>
      <c r="B3" s="40" t="s">
        <v>496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2.75" customHeight="1">
      <c r="A4" s="41"/>
      <c r="B4" s="42" t="s">
        <v>497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2.75" customHeight="1">
      <c r="A5" s="41"/>
      <c r="B5" s="42" t="s">
        <v>498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2.75" customHeight="1">
      <c r="A6" s="41"/>
      <c r="B6" s="42" t="s">
        <v>499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2.75" customHeight="1">
      <c r="A7" s="41"/>
      <c r="B7" s="42" t="s">
        <v>500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2.75" customHeight="1">
      <c r="A8" s="41"/>
      <c r="B8" s="42" t="s">
        <v>501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2.75" customHeight="1">
      <c r="A9" s="41"/>
      <c r="B9" s="42" t="s">
        <v>502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2.75" customHeight="1">
      <c r="A10" s="41"/>
      <c r="B10" s="42" t="s">
        <v>503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2.75" customHeight="1">
      <c r="A11" s="39" t="s">
        <v>504</v>
      </c>
      <c r="B11" s="40" t="s">
        <v>505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2.75" customHeight="1">
      <c r="A12" s="41"/>
      <c r="B12" s="42" t="s">
        <v>506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2.75" customHeight="1">
      <c r="A13" s="41"/>
      <c r="B13" s="42" t="s">
        <v>507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2.75" customHeight="1">
      <c r="A14" s="41"/>
      <c r="B14" s="42" t="s">
        <v>508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2.75" customHeight="1">
      <c r="A15" s="41"/>
      <c r="B15" s="42" t="s">
        <v>509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2.75" customHeight="1">
      <c r="A16" s="41"/>
      <c r="B16" s="42" t="s">
        <v>510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2.75" customHeight="1">
      <c r="A17" s="41"/>
      <c r="B17" s="42" t="s">
        <v>511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2.75" customHeight="1">
      <c r="A18" s="41"/>
      <c r="B18" s="42" t="s">
        <v>512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2.75" customHeight="1">
      <c r="A19" s="39" t="s">
        <v>513</v>
      </c>
      <c r="B19" s="40" t="s">
        <v>514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2.75" customHeight="1">
      <c r="A20" s="41"/>
      <c r="B20" s="42" t="s">
        <v>515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2.75" customHeight="1">
      <c r="A21" s="41"/>
      <c r="B21" s="42" t="s">
        <v>516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2.75" customHeight="1">
      <c r="A22" s="41"/>
      <c r="B22" s="42" t="s">
        <v>517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2.75" customHeight="1">
      <c r="A23" s="41"/>
      <c r="B23" s="42" t="s">
        <v>518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2.75" customHeight="1">
      <c r="A24" s="41"/>
      <c r="B24" s="42" t="s">
        <v>519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2.75" customHeight="1">
      <c r="A25" s="41"/>
      <c r="B25" s="42" t="s">
        <v>520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2.75" customHeight="1">
      <c r="A26" s="41"/>
      <c r="B26" s="42" t="s">
        <v>521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2.75" customHeight="1">
      <c r="A27" s="41"/>
      <c r="B27" s="42" t="s">
        <v>522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2.75" customHeight="1">
      <c r="A28" s="39" t="s">
        <v>523</v>
      </c>
      <c r="B28" s="40" t="s">
        <v>524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2.75" customHeight="1">
      <c r="A29" s="41"/>
      <c r="B29" s="42" t="s">
        <v>525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2.75" customHeight="1">
      <c r="A30" s="41"/>
      <c r="B30" s="42" t="s">
        <v>526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2.75" customHeight="1">
      <c r="A31" s="41"/>
      <c r="B31" s="42" t="s">
        <v>527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2.75" customHeight="1">
      <c r="A32" s="41"/>
      <c r="B32" s="42" t="s">
        <v>528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2.75" customHeight="1">
      <c r="A33" s="41"/>
      <c r="B33" s="42" t="s">
        <v>529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2.75" customHeight="1">
      <c r="A34" s="41"/>
      <c r="B34" s="42" t="s">
        <v>530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2.75" customHeight="1">
      <c r="A35" s="41"/>
      <c r="B35" s="42" t="s">
        <v>531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2.75" customHeight="1">
      <c r="A36" s="41"/>
      <c r="B36" s="42" t="s">
        <v>532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2.75" customHeight="1">
      <c r="A37" s="41"/>
      <c r="B37" s="42" t="s">
        <v>533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2.75" customHeight="1">
      <c r="A38" s="41"/>
      <c r="B38" s="42" t="s">
        <v>534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2.75" customHeight="1">
      <c r="A39" s="39" t="s">
        <v>535</v>
      </c>
      <c r="B39" s="40" t="s">
        <v>536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2.75" customHeight="1">
      <c r="A40" s="41"/>
      <c r="B40" s="42" t="s">
        <v>537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2.75" customHeight="1">
      <c r="A41" s="41"/>
      <c r="B41" s="42" t="s">
        <v>538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2.75" customHeight="1">
      <c r="A42" s="41"/>
      <c r="B42" s="42" t="s">
        <v>539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2.75" customHeight="1">
      <c r="A43" s="41"/>
      <c r="B43" s="42" t="s">
        <v>540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2.75" customHeight="1">
      <c r="A44" s="39" t="s">
        <v>541</v>
      </c>
      <c r="B44" s="40" t="s">
        <v>542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2.75" customHeight="1">
      <c r="A45" s="41"/>
      <c r="B45" s="42" t="s">
        <v>543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2.75" customHeight="1">
      <c r="A46" s="41"/>
      <c r="B46" s="42" t="s">
        <v>544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2.75" customHeight="1">
      <c r="A47" s="41"/>
      <c r="B47" s="42" t="s">
        <v>545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2.75" customHeight="1">
      <c r="A48" s="41"/>
      <c r="B48" s="42" t="s">
        <v>546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2.75" customHeight="1">
      <c r="A49" s="41"/>
      <c r="B49" s="42" t="s">
        <v>547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2.75" customHeight="1">
      <c r="A50" s="43"/>
      <c r="B50" s="4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2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2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2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2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2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2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2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2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2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2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2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2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2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2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2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2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2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2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2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2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2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2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2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2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2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2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2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2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2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2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2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2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2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2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2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2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2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2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2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2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2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2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2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2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2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2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2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2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2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2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2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2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2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2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2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2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2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2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2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2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2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2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2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2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2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2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2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2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2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2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2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2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2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2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2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2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2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2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2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2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2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2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2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2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2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2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2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2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2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2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2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2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2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2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2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2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2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2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2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2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2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2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2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2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2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2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2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2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2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2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2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2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2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2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2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2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2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2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2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2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2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2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2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2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2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2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2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2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2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2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2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2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2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2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2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2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2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2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2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2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2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2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2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2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2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2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2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2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2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2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2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2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2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2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2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2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2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2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2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2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2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2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2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2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2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2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2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2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2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2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2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2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2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2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2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2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2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2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2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2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2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2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2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2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2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2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2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2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2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2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2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2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2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2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2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2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2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2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2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2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2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2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2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2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2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2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2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2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2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2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2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2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2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2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2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2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2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2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2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2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2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2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2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2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2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2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2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2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2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2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2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2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2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2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2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2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2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2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2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2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2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2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2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2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2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2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2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2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2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2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2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2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2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2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2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2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2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2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2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2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2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2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2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2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2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2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2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2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2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2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2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2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2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2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2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2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2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2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2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2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2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2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2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2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2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2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2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2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2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2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2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2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2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2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2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2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2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2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2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2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2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2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2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2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2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2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2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2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2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2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2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2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2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2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2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2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2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2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2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2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2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2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2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2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2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2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2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2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2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2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2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2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2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2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2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2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2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2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2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2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2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2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2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2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2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2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2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2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2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2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2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2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2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2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2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2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2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2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2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2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2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2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2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2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2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2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2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2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2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2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2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2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2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2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2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2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2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2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2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2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2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2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2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2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2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2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2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2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2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2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2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2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2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2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2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2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2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2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2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2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2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2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2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2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2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2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2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2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2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2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2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2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2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2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2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2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2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2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2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2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2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2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2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2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2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2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2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2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2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2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2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2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2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2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2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2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2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2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2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2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2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2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2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2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2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2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2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2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2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2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2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2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2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2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2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2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2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2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2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2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2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2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2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2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2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2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2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2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2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2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2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2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2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2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2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2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2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2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2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2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2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2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2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2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2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2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2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2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2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2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2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2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2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2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2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2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2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2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2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2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2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2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2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2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2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2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2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2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2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2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2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2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2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2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2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2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2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2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2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2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2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2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2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2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2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2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2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2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2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2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2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2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2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2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2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2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2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2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2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2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2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2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2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2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2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2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2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2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2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2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2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2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2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2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2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2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2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2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2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2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2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2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2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2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2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2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2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2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2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2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2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2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2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2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2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2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2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2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2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2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2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2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2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2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2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2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2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2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2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2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2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2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2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2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2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2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2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2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2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2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2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2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2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2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2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2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2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2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2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2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2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2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2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2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2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2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2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2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2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2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2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2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2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2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2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2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2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2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2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2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2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2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2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2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2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2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2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2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2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2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2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2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2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2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2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2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2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2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2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2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2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2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2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2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2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2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2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2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2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2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2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2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2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2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2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2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2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2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2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2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2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2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2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2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2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2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2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2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2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2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2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2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2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2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2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2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2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2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2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2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2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2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2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2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2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2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2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2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2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2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2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2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2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2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2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2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2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2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2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2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2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2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2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2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2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2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2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2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2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2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2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2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2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2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2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2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2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2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2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2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2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2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2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2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2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2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2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2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2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2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2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2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2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2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2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2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2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2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2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2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2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2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2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2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2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2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">
    <mergeCell ref="A1:H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19" sqref="B19"/>
    </sheetView>
  </sheetViews>
  <sheetFormatPr defaultColWidth="14.42578125" defaultRowHeight="15" customHeight="1"/>
  <cols>
    <col min="1" max="1" width="40.28515625" customWidth="1"/>
    <col min="2" max="2" width="60.140625" customWidth="1"/>
    <col min="3" max="3" width="31" customWidth="1"/>
    <col min="4" max="4" width="72.28515625" customWidth="1"/>
    <col min="5" max="5" width="45.140625" customWidth="1"/>
    <col min="6" max="6" width="10.85546875" customWidth="1"/>
    <col min="7" max="7" width="32.42578125" customWidth="1"/>
    <col min="8" max="26" width="10.85546875" customWidth="1"/>
  </cols>
  <sheetData>
    <row r="1" spans="1:26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2.7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2.75" customHeight="1">
      <c r="A3" s="33" t="s">
        <v>548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2.75" customHeight="1">
      <c r="A4" s="33" t="s">
        <v>549</v>
      </c>
      <c r="B4" s="33" t="s">
        <v>550</v>
      </c>
      <c r="C4" s="33" t="s">
        <v>61</v>
      </c>
      <c r="D4" s="20" t="s">
        <v>551</v>
      </c>
      <c r="E4" s="20" t="s">
        <v>552</v>
      </c>
      <c r="F4" s="33"/>
      <c r="G4" s="33" t="s">
        <v>65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2.75" customHeight="1">
      <c r="A5" s="33"/>
      <c r="B5" s="33" t="s">
        <v>553</v>
      </c>
      <c r="C5" s="33" t="s">
        <v>72</v>
      </c>
      <c r="D5" s="33"/>
      <c r="E5" s="20" t="s">
        <v>554</v>
      </c>
      <c r="F5" s="33"/>
      <c r="G5" s="33" t="s">
        <v>94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2.75" customHeight="1">
      <c r="A6" s="33"/>
      <c r="B6" s="33" t="s">
        <v>555</v>
      </c>
      <c r="C6" s="33" t="s">
        <v>121</v>
      </c>
      <c r="D6" s="33"/>
      <c r="E6" s="20" t="s">
        <v>556</v>
      </c>
      <c r="F6" s="33"/>
      <c r="G6" s="33" t="s">
        <v>76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2.75" customHeight="1">
      <c r="A7" s="33"/>
      <c r="B7" s="33" t="s">
        <v>557</v>
      </c>
      <c r="C7" s="33" t="s">
        <v>312</v>
      </c>
      <c r="D7" s="20" t="s">
        <v>558</v>
      </c>
      <c r="E7" s="20" t="s">
        <v>559</v>
      </c>
      <c r="F7" s="33"/>
      <c r="G7" s="33" t="s">
        <v>316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2.75" customHeight="1">
      <c r="A8" s="33"/>
      <c r="B8" s="33" t="s">
        <v>560</v>
      </c>
      <c r="C8" s="33" t="s">
        <v>44</v>
      </c>
      <c r="D8" s="20" t="s">
        <v>561</v>
      </c>
      <c r="E8" s="20" t="s">
        <v>562</v>
      </c>
      <c r="F8" s="33"/>
      <c r="G8" s="33" t="s">
        <v>49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2.75" customHeight="1">
      <c r="A9" s="33" t="s">
        <v>563</v>
      </c>
      <c r="B9" s="33" t="s">
        <v>564</v>
      </c>
      <c r="C9" s="33" t="s">
        <v>152</v>
      </c>
      <c r="D9" s="33"/>
      <c r="E9" s="20" t="s">
        <v>565</v>
      </c>
      <c r="F9" s="33"/>
      <c r="G9" s="33" t="s">
        <v>142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2.75" customHeight="1">
      <c r="A10" s="33"/>
      <c r="B10" s="33" t="s">
        <v>566</v>
      </c>
      <c r="C10" s="33"/>
      <c r="D10" s="33"/>
      <c r="E10" s="20" t="s">
        <v>567</v>
      </c>
      <c r="F10" s="33"/>
      <c r="G10" s="33" t="s">
        <v>156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2.75" customHeight="1">
      <c r="A11" s="33" t="s">
        <v>568</v>
      </c>
      <c r="B11" s="33" t="s">
        <v>569</v>
      </c>
      <c r="C11" s="33" t="s">
        <v>298</v>
      </c>
      <c r="D11" s="33"/>
      <c r="E11" s="20" t="s">
        <v>570</v>
      </c>
      <c r="F11" s="33"/>
      <c r="G11" s="33" t="s">
        <v>330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2.75" customHeight="1">
      <c r="A12" s="33"/>
      <c r="B12" s="33" t="s">
        <v>571</v>
      </c>
      <c r="C12" s="33" t="s">
        <v>168</v>
      </c>
      <c r="D12" s="33"/>
      <c r="E12" s="20" t="s">
        <v>572</v>
      </c>
      <c r="F12" s="33"/>
      <c r="G12" s="33" t="s">
        <v>355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2.75" customHeight="1">
      <c r="A13" s="33" t="s">
        <v>573</v>
      </c>
      <c r="B13" s="33" t="s">
        <v>574</v>
      </c>
      <c r="C13" s="33" t="s">
        <v>137</v>
      </c>
      <c r="D13" s="33"/>
      <c r="E13" s="33"/>
      <c r="F13" s="33"/>
      <c r="G13" s="33" t="s">
        <v>575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2.75" customHeight="1">
      <c r="A14" s="33"/>
      <c r="B14" s="33" t="s">
        <v>576</v>
      </c>
      <c r="C14" s="33" t="s">
        <v>577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2.75" customHeight="1">
      <c r="A15" s="33"/>
      <c r="B15" s="33" t="s">
        <v>578</v>
      </c>
      <c r="C15" s="33" t="s">
        <v>90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2.75" customHeight="1">
      <c r="A16" s="33"/>
      <c r="B16" s="33" t="s">
        <v>579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2.75" customHeight="1">
      <c r="A17" s="33" t="s">
        <v>580</v>
      </c>
      <c r="B17" s="33" t="s">
        <v>581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2.75" customHeight="1">
      <c r="A18" s="33"/>
      <c r="B18" s="33" t="s">
        <v>582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2.75" customHeight="1">
      <c r="A19" s="33"/>
      <c r="B19" s="33" t="s">
        <v>583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2.75" customHeight="1">
      <c r="A20" s="33"/>
      <c r="B20" s="33" t="s">
        <v>584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2.75" customHeight="1">
      <c r="A21" s="33" t="s">
        <v>585</v>
      </c>
      <c r="B21" s="33" t="s">
        <v>586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2.75" customHeight="1">
      <c r="A22" s="33"/>
      <c r="B22" s="33" t="s">
        <v>587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2.75" customHeight="1">
      <c r="A23" s="33"/>
      <c r="B23" s="33" t="s">
        <v>588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2.75" customHeight="1">
      <c r="A24" s="33"/>
      <c r="B24" s="33" t="s">
        <v>589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2.75" customHeight="1">
      <c r="A25" s="33" t="s">
        <v>590</v>
      </c>
      <c r="B25" s="33" t="s">
        <v>591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2.75" customHeight="1">
      <c r="A26" s="33"/>
      <c r="B26" s="33" t="s">
        <v>592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2.75" customHeight="1">
      <c r="A27" s="33"/>
      <c r="B27" s="33" t="s">
        <v>593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2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2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2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2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2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2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2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2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2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2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2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2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2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2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2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2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2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2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2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2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2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2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2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2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2.75" customHeight="1">
      <c r="A69" s="33"/>
      <c r="B69" s="33"/>
      <c r="C69" s="33"/>
      <c r="D69" s="33"/>
      <c r="E69" s="33"/>
      <c r="F69" s="32">
        <v>1</v>
      </c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2.75" customHeight="1">
      <c r="A70" s="33"/>
      <c r="B70" s="33"/>
      <c r="C70" s="33"/>
      <c r="D70" s="33"/>
      <c r="E70" s="33"/>
      <c r="F70" s="32">
        <v>2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2.75" customHeight="1">
      <c r="A71" s="33"/>
      <c r="B71" s="33"/>
      <c r="C71" s="33"/>
      <c r="D71" s="33"/>
      <c r="E71" s="33"/>
      <c r="F71" s="32">
        <v>3</v>
      </c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2.75" customHeight="1">
      <c r="A72" s="33"/>
      <c r="B72" s="33"/>
      <c r="C72" s="33"/>
      <c r="D72" s="33"/>
      <c r="E72" s="33"/>
      <c r="F72" s="32">
        <v>4</v>
      </c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2.75" customHeight="1">
      <c r="A73" s="33"/>
      <c r="B73" s="33"/>
      <c r="C73" s="33"/>
      <c r="D73" s="33"/>
      <c r="E73" s="33"/>
      <c r="F73" s="32">
        <v>5</v>
      </c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2.75" customHeight="1">
      <c r="A173" s="33"/>
      <c r="B173" s="33"/>
      <c r="C173" s="33" t="s">
        <v>48</v>
      </c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2.75" customHeight="1">
      <c r="A174" s="33"/>
      <c r="B174" s="33"/>
      <c r="C174" s="33" t="s">
        <v>141</v>
      </c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2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2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2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2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2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2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2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2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2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2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2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2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2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2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2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2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2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2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2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2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2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2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2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2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2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2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2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2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2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2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2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2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2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2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2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2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2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2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2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2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2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2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2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2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2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2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2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2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2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2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2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2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2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2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2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2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2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2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2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2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2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2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2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2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2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2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2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2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2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2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2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2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2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2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2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2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2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2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2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2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2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2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2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2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2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2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2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2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2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2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2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2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2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2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2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2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2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2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2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2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2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2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2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2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2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2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2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2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2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2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2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2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2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2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2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2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2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2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2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2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2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2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2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2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2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2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2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2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2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2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2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2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2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2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2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2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2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2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2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2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2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2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2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2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2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2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2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2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2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2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2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2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2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2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2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2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2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2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2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2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2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2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2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2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2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2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2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2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2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2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2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2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2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2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2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2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2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2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2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2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2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2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2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2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2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2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2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2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2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2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2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2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2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2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2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2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2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2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2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2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2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2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2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2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2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2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2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2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2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2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2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2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2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2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2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2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2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2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2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2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2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2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2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2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2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2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2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2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2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2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2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2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2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2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2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2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2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2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2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2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2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2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2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2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2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2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2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2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2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2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2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2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2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2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2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2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2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2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2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2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2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2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2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2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2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2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2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2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2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2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2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2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2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2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2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2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2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2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2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2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2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2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2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2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2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2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2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2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2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2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2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2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2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2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2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2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2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2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2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2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2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2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2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2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2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2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2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2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2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2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2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2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2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2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2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2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2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2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2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2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2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2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2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2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2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2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2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2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2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2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2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2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2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2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2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2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2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2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2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2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2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2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2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2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2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2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2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2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2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2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2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2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2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2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2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2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2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2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2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2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2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2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2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2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2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2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2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2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2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2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2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2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2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2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2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2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2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2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2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2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2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2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2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2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2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2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2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2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2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2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2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2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2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2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2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2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2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2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2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2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2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2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2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2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2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2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2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2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2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2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2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2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2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2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2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2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2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2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2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2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2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2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2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2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2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2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2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2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2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2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2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2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2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2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2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2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2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2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2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2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2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2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2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2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2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2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2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2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2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2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2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2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2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2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2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2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2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2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2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2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2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2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2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2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2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2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2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2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2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2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2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2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2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2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2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2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2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2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2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2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2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2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2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2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2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2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2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2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2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2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2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2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2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2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2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2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2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2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2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2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2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2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2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2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2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2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2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2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2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2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2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2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2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2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2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2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2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2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2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2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2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2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2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2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2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2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2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2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2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2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2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2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2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2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2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2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2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2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2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2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2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2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2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2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2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2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2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2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2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2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2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2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2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2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2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2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2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2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2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2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2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2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2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2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2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2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2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2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2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2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2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2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2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2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2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2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2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2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2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2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2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2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2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2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2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2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2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2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2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2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2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2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2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2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2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2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2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2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2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2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2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2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2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2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2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2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2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2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2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2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2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2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2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2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2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2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2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2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2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2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2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2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2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2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2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2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2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2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2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2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2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2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2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2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2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2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2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2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2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2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2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2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2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2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2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2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2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2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2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2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2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2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2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2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2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2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2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2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2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2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2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2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2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2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2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2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2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2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2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2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2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2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2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2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2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2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2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2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2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2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2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2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2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2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2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2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2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2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2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2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2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2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2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2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2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2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2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2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2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2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2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2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2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2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2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2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2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2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2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2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2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2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2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2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2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2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2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2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2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2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2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2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2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2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2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2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2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2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2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2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2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2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2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2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2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2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2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2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2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2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2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2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2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2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2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2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2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2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2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2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2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2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2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2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e18039-ca6f-415d-8fd8-a1aa14118170" xsi:nil="true"/>
    <lcf76f155ced4ddcb4097134ff3c332f xmlns="3272fca4-c689-439e-87e1-53891163e44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C53C91F64E8B458CF77F61A220F363" ma:contentTypeVersion="11" ma:contentTypeDescription="Create a new document." ma:contentTypeScope="" ma:versionID="43093399697b97a63aa53f4a658058cc">
  <xsd:schema xmlns:xsd="http://www.w3.org/2001/XMLSchema" xmlns:xs="http://www.w3.org/2001/XMLSchema" xmlns:p="http://schemas.microsoft.com/office/2006/metadata/properties" xmlns:ns2="3272fca4-c689-439e-87e1-53891163e441" xmlns:ns3="f7e18039-ca6f-415d-8fd8-a1aa14118170" targetNamespace="http://schemas.microsoft.com/office/2006/metadata/properties" ma:root="true" ma:fieldsID="548f869f443d540c9f69f6143d02d131" ns2:_="" ns3:_="">
    <xsd:import namespace="3272fca4-c689-439e-87e1-53891163e441"/>
    <xsd:import namespace="f7e18039-ca6f-415d-8fd8-a1aa141181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2fca4-c689-439e-87e1-53891163e4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425480-5ccf-418f-8d35-fa1fb1fe6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18039-ca6f-415d-8fd8-a1aa1411817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6bd7ea8-f908-40ea-af1d-c849e9b4a44c}" ma:internalName="TaxCatchAll" ma:showField="CatchAllData" ma:web="f7e18039-ca6f-415d-8fd8-a1aa141181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28883F-C94C-481B-9EC8-4418D71C09A3}"/>
</file>

<file path=customXml/itemProps2.xml><?xml version="1.0" encoding="utf-8"?>
<ds:datastoreItem xmlns:ds="http://schemas.openxmlformats.org/officeDocument/2006/customXml" ds:itemID="{CC164FE0-C03B-4B60-BA4C-E28615882662}"/>
</file>

<file path=customXml/itemProps3.xml><?xml version="1.0" encoding="utf-8"?>
<ds:datastoreItem xmlns:ds="http://schemas.openxmlformats.org/officeDocument/2006/customXml" ds:itemID="{E8CE7693-64FE-4CA2-B4FE-3CE4932BE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 DADDARIO, CRISC</dc:creator>
  <cp:keywords/>
  <dc:description/>
  <cp:lastModifiedBy>Cristiano Israel</cp:lastModifiedBy>
  <cp:revision/>
  <dcterms:created xsi:type="dcterms:W3CDTF">2018-11-01T18:24:32Z</dcterms:created>
  <dcterms:modified xsi:type="dcterms:W3CDTF">2026-03-17T01:57:47Z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0x010100C7C53C91F64E8B458CF77F61A220F363</vt:lpwstr>
  </property>
  <property fmtid="{D5CDD505-2E9C-101B-9397-08002B2CF9AE}" pid="3" name="MediaServiceImageTags">
    <vt:lpwstr/>
  </property>
</Properties>
</file>